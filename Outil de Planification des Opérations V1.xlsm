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BEB" lockStructure="1"/>
  <bookViews>
    <workbookView xWindow="-120" yWindow="735" windowWidth="20730" windowHeight="11505" tabRatio="779"/>
  </bookViews>
  <sheets>
    <sheet name="ACCEUIL" sheetId="6" r:id="rId1"/>
    <sheet name="RETRO PLANNING - Paramètres" sheetId="1" r:id="rId2"/>
    <sheet name="PLANNING - Paramètres" sheetId="8" r:id="rId3"/>
    <sheet name="RETRO PLANNING - DI-AVP-PRO-REA" sheetId="4" r:id="rId4"/>
    <sheet name="PLANNING - DI-AVP-PRO-REA" sheetId="11" r:id="rId5"/>
    <sheet name="RETRO PLANNING - DI-APO-REA " sheetId="5" r:id="rId6"/>
    <sheet name="PLANNING - DI-APO-REA " sheetId="10" r:id="rId7"/>
  </sheets>
  <calcPr calcId="145621"/>
</workbook>
</file>

<file path=xl/calcChain.xml><?xml version="1.0" encoding="utf-8"?>
<calcChain xmlns="http://schemas.openxmlformats.org/spreadsheetml/2006/main">
  <c r="J1" i="11" l="1"/>
  <c r="U3" i="10"/>
  <c r="U2" i="10"/>
  <c r="U1" i="10"/>
  <c r="J1" i="10"/>
  <c r="K3" i="10"/>
  <c r="K4" i="10"/>
  <c r="K5" i="10"/>
  <c r="U1" i="11"/>
  <c r="U2" i="11"/>
  <c r="U3" i="11"/>
  <c r="L5" i="11"/>
  <c r="L4" i="11"/>
  <c r="L3" i="11"/>
  <c r="D60" i="11"/>
  <c r="D53" i="10"/>
  <c r="D46" i="10" s="1"/>
  <c r="B8" i="10"/>
  <c r="B8" i="11"/>
  <c r="E8" i="11" s="1"/>
  <c r="B9" i="11" s="1"/>
  <c r="B68" i="11"/>
  <c r="E68" i="11" s="1"/>
  <c r="C66" i="11"/>
  <c r="C65" i="11"/>
  <c r="E63" i="11"/>
  <c r="C63" i="11"/>
  <c r="E62" i="11"/>
  <c r="C62" i="11"/>
  <c r="E61" i="11"/>
  <c r="C61" i="11"/>
  <c r="D53" i="11"/>
  <c r="C57" i="11"/>
  <c r="C56" i="11"/>
  <c r="C54" i="11"/>
  <c r="C52" i="11"/>
  <c r="C51" i="11"/>
  <c r="C50" i="11"/>
  <c r="C49" i="11"/>
  <c r="C48" i="11"/>
  <c r="C46" i="11"/>
  <c r="C45" i="11"/>
  <c r="C43" i="11"/>
  <c r="C41" i="11"/>
  <c r="D39" i="11"/>
  <c r="C38" i="11"/>
  <c r="C35" i="11"/>
  <c r="D33" i="11"/>
  <c r="D32" i="11"/>
  <c r="D26" i="11" s="1"/>
  <c r="C31" i="11"/>
  <c r="C28" i="11"/>
  <c r="C25" i="11"/>
  <c r="C24" i="11"/>
  <c r="C23" i="11"/>
  <c r="C19" i="11"/>
  <c r="C18" i="11"/>
  <c r="C17" i="11"/>
  <c r="C13" i="11"/>
  <c r="C10" i="11"/>
  <c r="C8" i="11"/>
  <c r="D14" i="11"/>
  <c r="D9" i="11" s="1"/>
  <c r="C47" i="11"/>
  <c r="D47" i="11" s="1"/>
  <c r="B61" i="10"/>
  <c r="E61" i="10" s="1"/>
  <c r="C59" i="10"/>
  <c r="C58" i="10"/>
  <c r="E56" i="10"/>
  <c r="C56" i="10"/>
  <c r="E55" i="10"/>
  <c r="C55" i="10"/>
  <c r="E54" i="10"/>
  <c r="C54" i="10"/>
  <c r="C50" i="10"/>
  <c r="C49" i="10"/>
  <c r="C47" i="10"/>
  <c r="C45" i="10"/>
  <c r="C44" i="10"/>
  <c r="C43" i="10"/>
  <c r="C42" i="10"/>
  <c r="C41" i="10"/>
  <c r="C40" i="10"/>
  <c r="D40" i="10" s="1"/>
  <c r="C39" i="10"/>
  <c r="C38" i="10"/>
  <c r="C34" i="10"/>
  <c r="C31" i="10"/>
  <c r="C28" i="10"/>
  <c r="C25" i="10"/>
  <c r="C24" i="10"/>
  <c r="C23" i="10"/>
  <c r="C19" i="10"/>
  <c r="C18" i="10"/>
  <c r="C17" i="10"/>
  <c r="C13" i="10"/>
  <c r="C10" i="10"/>
  <c r="E8" i="10"/>
  <c r="C8" i="10"/>
  <c r="C37" i="10"/>
  <c r="D37" i="10" s="1"/>
  <c r="D35" i="10" s="1"/>
  <c r="B15" i="8"/>
  <c r="U6" i="11" s="1"/>
  <c r="U6" i="10" l="1"/>
  <c r="D33" i="10"/>
  <c r="D32" i="10"/>
  <c r="D14" i="10"/>
  <c r="B9" i="10"/>
  <c r="B10" i="10"/>
  <c r="E10" i="10" s="1"/>
  <c r="B11" i="10" s="1"/>
  <c r="B10" i="11"/>
  <c r="E10" i="11" s="1"/>
  <c r="B11" i="11" s="1"/>
  <c r="B24" i="11"/>
  <c r="E23" i="11" s="1"/>
  <c r="B23" i="11"/>
  <c r="B22" i="11" s="1"/>
  <c r="E9" i="11"/>
  <c r="B26" i="11" s="1"/>
  <c r="C44" i="11"/>
  <c r="D44" i="11" s="1"/>
  <c r="D42" i="11" s="1"/>
  <c r="B24" i="10" l="1"/>
  <c r="E23" i="10" s="1"/>
  <c r="B23" i="10"/>
  <c r="B22" i="10" s="1"/>
  <c r="E11" i="11"/>
  <c r="B12" i="11" s="1"/>
  <c r="D9" i="10"/>
  <c r="C9" i="11"/>
  <c r="D26" i="10"/>
  <c r="D40" i="11"/>
  <c r="E11" i="10"/>
  <c r="B12" i="10" s="1"/>
  <c r="E20" i="11"/>
  <c r="B20" i="11" s="1"/>
  <c r="E26" i="11"/>
  <c r="B33" i="11" s="1"/>
  <c r="B27" i="11"/>
  <c r="C11" i="11" l="1"/>
  <c r="C11" i="10"/>
  <c r="C26" i="11"/>
  <c r="E12" i="11"/>
  <c r="B13" i="11" s="1"/>
  <c r="E13" i="11" s="1"/>
  <c r="B14" i="11" s="1"/>
  <c r="E27" i="11"/>
  <c r="B28" i="11" s="1"/>
  <c r="E28" i="11" s="1"/>
  <c r="B29" i="11" s="1"/>
  <c r="E12" i="10"/>
  <c r="B13" i="10" s="1"/>
  <c r="E13" i="10" s="1"/>
  <c r="B14" i="10" s="1"/>
  <c r="E33" i="11"/>
  <c r="B40" i="11" s="1"/>
  <c r="B34" i="11"/>
  <c r="E9" i="10"/>
  <c r="C9" i="10" s="1"/>
  <c r="E19" i="11"/>
  <c r="B19" i="11" s="1"/>
  <c r="E18" i="11" s="1"/>
  <c r="B18" i="11" s="1"/>
  <c r="E17" i="11" s="1"/>
  <c r="B17" i="11" s="1"/>
  <c r="B16" i="11" s="1"/>
  <c r="C20" i="11"/>
  <c r="C27" i="11" l="1"/>
  <c r="C12" i="11"/>
  <c r="C33" i="11"/>
  <c r="E29" i="11"/>
  <c r="B30" i="11" s="1"/>
  <c r="B26" i="10"/>
  <c r="E15" i="10"/>
  <c r="E34" i="11"/>
  <c r="B35" i="11" s="1"/>
  <c r="E35" i="11" s="1"/>
  <c r="B36" i="11" s="1"/>
  <c r="C34" i="11"/>
  <c r="C12" i="10"/>
  <c r="E14" i="11"/>
  <c r="B15" i="11" s="1"/>
  <c r="B41" i="11"/>
  <c r="E41" i="11" s="1"/>
  <c r="B42" i="11" s="1"/>
  <c r="E40" i="11"/>
  <c r="C40" i="11" s="1"/>
  <c r="E14" i="10"/>
  <c r="B15" i="10" s="1"/>
  <c r="C14" i="10" l="1"/>
  <c r="C15" i="10"/>
  <c r="C14" i="11"/>
  <c r="E36" i="11"/>
  <c r="B37" i="11" s="1"/>
  <c r="C29" i="11"/>
  <c r="E15" i="11"/>
  <c r="C15" i="11" s="1"/>
  <c r="B43" i="11"/>
  <c r="E43" i="11" s="1"/>
  <c r="B44" i="11" s="1"/>
  <c r="E44" i="11" s="1"/>
  <c r="B45" i="11" s="1"/>
  <c r="E45" i="11" s="1"/>
  <c r="B46" i="11" s="1"/>
  <c r="E46" i="11" s="1"/>
  <c r="B47" i="11" s="1"/>
  <c r="E47" i="11" s="1"/>
  <c r="B48" i="11" s="1"/>
  <c r="E48" i="11" s="1"/>
  <c r="B49" i="11" s="1"/>
  <c r="E49" i="11" s="1"/>
  <c r="B50" i="11" s="1"/>
  <c r="E50" i="11" s="1"/>
  <c r="B51" i="11" s="1"/>
  <c r="E51" i="11" s="1"/>
  <c r="B52" i="11" s="1"/>
  <c r="E52" i="11" s="1"/>
  <c r="E42" i="11"/>
  <c r="C42" i="11" s="1"/>
  <c r="E30" i="11"/>
  <c r="B31" i="11" s="1"/>
  <c r="E31" i="11" s="1"/>
  <c r="B32" i="11" s="1"/>
  <c r="B27" i="10"/>
  <c r="E20" i="10"/>
  <c r="B20" i="10" s="1"/>
  <c r="E26" i="10"/>
  <c r="B33" i="10" s="1"/>
  <c r="C30" i="11" l="1"/>
  <c r="C36" i="11"/>
  <c r="E33" i="10"/>
  <c r="C33" i="10" s="1"/>
  <c r="B34" i="10"/>
  <c r="E34" i="10" s="1"/>
  <c r="B35" i="10" s="1"/>
  <c r="C20" i="10"/>
  <c r="E19" i="10"/>
  <c r="B19" i="10" s="1"/>
  <c r="E18" i="10" s="1"/>
  <c r="B18" i="10" s="1"/>
  <c r="E17" i="10" s="1"/>
  <c r="B17" i="10" s="1"/>
  <c r="B16" i="10" s="1"/>
  <c r="E27" i="10"/>
  <c r="B28" i="10" s="1"/>
  <c r="E28" i="10" s="1"/>
  <c r="B29" i="10" s="1"/>
  <c r="E16" i="11"/>
  <c r="B53" i="11"/>
  <c r="C26" i="10"/>
  <c r="E32" i="11"/>
  <c r="C32" i="11" s="1"/>
  <c r="E37" i="11"/>
  <c r="B38" i="11" s="1"/>
  <c r="E38" i="11" s="1"/>
  <c r="B39" i="11" s="1"/>
  <c r="C37" i="11" l="1"/>
  <c r="E29" i="10"/>
  <c r="B30" i="10" s="1"/>
  <c r="E35" i="10"/>
  <c r="B36" i="10"/>
  <c r="E39" i="11"/>
  <c r="C39" i="11"/>
  <c r="E53" i="11"/>
  <c r="B66" i="11" s="1"/>
  <c r="B25" i="11"/>
  <c r="B54" i="11"/>
  <c r="E54" i="11" s="1"/>
  <c r="B55" i="11" s="1"/>
  <c r="E21" i="11"/>
  <c r="D16" i="11"/>
  <c r="C16" i="11" s="1"/>
  <c r="C27" i="10"/>
  <c r="E65" i="11" l="1"/>
  <c r="B65" i="11" s="1"/>
  <c r="E66" i="11"/>
  <c r="B67" i="11" s="1"/>
  <c r="E36" i="10"/>
  <c r="B37" i="10" s="1"/>
  <c r="E37" i="10" s="1"/>
  <c r="B38" i="10" s="1"/>
  <c r="E38" i="10" s="1"/>
  <c r="B39" i="10" s="1"/>
  <c r="E39" i="10" s="1"/>
  <c r="B40" i="10" s="1"/>
  <c r="E40" i="10" s="1"/>
  <c r="B41" i="10" s="1"/>
  <c r="E41" i="10" s="1"/>
  <c r="B42" i="10" s="1"/>
  <c r="E42" i="10" s="1"/>
  <c r="B43" i="10" s="1"/>
  <c r="E43" i="10" s="1"/>
  <c r="B44" i="10" s="1"/>
  <c r="E44" i="10" s="1"/>
  <c r="B45" i="10" s="1"/>
  <c r="E45" i="10" s="1"/>
  <c r="C53" i="11"/>
  <c r="B46" i="10"/>
  <c r="E16" i="10"/>
  <c r="E55" i="11"/>
  <c r="B58" i="11" s="1"/>
  <c r="B56" i="11"/>
  <c r="E56" i="11" s="1"/>
  <c r="B57" i="11" s="1"/>
  <c r="E57" i="11" s="1"/>
  <c r="C29" i="10"/>
  <c r="E25" i="11"/>
  <c r="E22" i="11" s="1"/>
  <c r="D22" i="11" s="1"/>
  <c r="C22" i="11" s="1"/>
  <c r="B21" i="11"/>
  <c r="C21" i="11" s="1"/>
  <c r="D21" i="11" s="1"/>
  <c r="E24" i="11"/>
  <c r="C35" i="10"/>
  <c r="E30" i="10"/>
  <c r="B31" i="10" s="1"/>
  <c r="E31" i="10" s="1"/>
  <c r="B32" i="10" s="1"/>
  <c r="C36" i="10" l="1"/>
  <c r="C30" i="10"/>
  <c r="E58" i="11"/>
  <c r="B59" i="11" s="1"/>
  <c r="E21" i="10"/>
  <c r="D16" i="10"/>
  <c r="C16" i="10" s="1"/>
  <c r="C55" i="11"/>
  <c r="E46" i="10"/>
  <c r="B59" i="10" s="1"/>
  <c r="B25" i="10"/>
  <c r="B47" i="10"/>
  <c r="E47" i="10" s="1"/>
  <c r="B48" i="10" s="1"/>
  <c r="E67" i="11"/>
  <c r="C67" i="11" s="1"/>
  <c r="E32" i="10"/>
  <c r="C32" i="10"/>
  <c r="C58" i="11" l="1"/>
  <c r="C46" i="10"/>
  <c r="B49" i="10"/>
  <c r="E49" i="10" s="1"/>
  <c r="B50" i="10" s="1"/>
  <c r="E50" i="10" s="1"/>
  <c r="E48" i="10"/>
  <c r="B51" i="10" s="1"/>
  <c r="E25" i="10"/>
  <c r="E22" i="10" s="1"/>
  <c r="C22" i="10" s="1"/>
  <c r="B21" i="10"/>
  <c r="C21" i="10" s="1"/>
  <c r="D21" i="10" s="1"/>
  <c r="E24" i="10"/>
  <c r="E59" i="10"/>
  <c r="B60" i="10" s="1"/>
  <c r="E58" i="10"/>
  <c r="B58" i="10" s="1"/>
  <c r="E59" i="11"/>
  <c r="B60" i="11" s="1"/>
  <c r="C59" i="11" l="1"/>
  <c r="E51" i="10"/>
  <c r="B52" i="10" s="1"/>
  <c r="C48" i="10"/>
  <c r="E60" i="11"/>
  <c r="B64" i="11" s="1"/>
  <c r="E60" i="10"/>
  <c r="C60" i="10" s="1"/>
  <c r="C60" i="11" l="1"/>
  <c r="E52" i="10"/>
  <c r="B53" i="10" s="1"/>
  <c r="E64" i="11"/>
  <c r="C64" i="11" s="1"/>
  <c r="C51" i="10"/>
  <c r="C52" i="10" l="1"/>
  <c r="E53" i="10"/>
  <c r="B57" i="10" s="1"/>
  <c r="C53" i="10" l="1"/>
  <c r="E57" i="10"/>
  <c r="C57" i="10" s="1"/>
  <c r="C35" i="5" l="1"/>
  <c r="C49" i="4"/>
  <c r="C42" i="4"/>
  <c r="C17" i="5" l="1"/>
  <c r="C17" i="4"/>
  <c r="C57" i="5" l="1"/>
  <c r="C64" i="4"/>
  <c r="C43" i="5" l="1"/>
  <c r="C40" i="5"/>
  <c r="C38" i="5"/>
  <c r="C37" i="5"/>
  <c r="C50" i="4"/>
  <c r="C48" i="4"/>
  <c r="C47" i="4"/>
  <c r="C44" i="4"/>
  <c r="C45" i="4"/>
  <c r="B52" i="4"/>
  <c r="K4" i="5" l="1"/>
  <c r="D13" i="5" s="1"/>
  <c r="L4" i="4"/>
  <c r="D13" i="4" s="1"/>
  <c r="L3" i="4"/>
  <c r="D31" i="4" l="1"/>
  <c r="D25" i="4" s="1"/>
  <c r="D38" i="4"/>
  <c r="D32" i="4" s="1"/>
  <c r="D31" i="5"/>
  <c r="D25" i="5" s="1"/>
  <c r="C48" i="5"/>
  <c r="D52" i="5"/>
  <c r="C49" i="5"/>
  <c r="C46" i="5"/>
  <c r="C44" i="5"/>
  <c r="B45" i="5"/>
  <c r="B46" i="5" s="1"/>
  <c r="C53" i="5"/>
  <c r="C54" i="5"/>
  <c r="C55" i="5"/>
  <c r="C58" i="5"/>
  <c r="B60" i="5"/>
  <c r="E60" i="5" s="1"/>
  <c r="D59" i="4"/>
  <c r="E46" i="5" l="1"/>
  <c r="B47" i="5" s="1"/>
  <c r="E47" i="5" s="1"/>
  <c r="B50" i="5" s="1"/>
  <c r="D45" i="5"/>
  <c r="E45" i="5" s="1"/>
  <c r="D52" i="4"/>
  <c r="C56" i="4"/>
  <c r="C55" i="4"/>
  <c r="B48" i="5" l="1"/>
  <c r="E48" i="5" s="1"/>
  <c r="B49" i="5" s="1"/>
  <c r="E49" i="5" s="1"/>
  <c r="C47" i="5"/>
  <c r="C45" i="5"/>
  <c r="B58" i="5"/>
  <c r="B15" i="1"/>
  <c r="B67" i="4"/>
  <c r="E67" i="4" s="1"/>
  <c r="E58" i="5" l="1"/>
  <c r="B59" i="5" s="1"/>
  <c r="E59" i="5" s="1"/>
  <c r="C59" i="5" s="1"/>
  <c r="E57" i="5"/>
  <c r="B57" i="5" s="1"/>
  <c r="C40" i="4"/>
  <c r="E34" i="5" l="1"/>
  <c r="E44" i="5" s="1"/>
  <c r="B44" i="5" s="1"/>
  <c r="E43" i="5" s="1"/>
  <c r="B43" i="5" s="1"/>
  <c r="E42" i="5" s="1"/>
  <c r="B42" i="5" s="1"/>
  <c r="E41" i="5" s="1"/>
  <c r="C33" i="5" l="1"/>
  <c r="C30" i="5"/>
  <c r="C27" i="5"/>
  <c r="C24" i="5"/>
  <c r="C23" i="5"/>
  <c r="C22" i="5"/>
  <c r="C18" i="5"/>
  <c r="C16" i="5"/>
  <c r="C12" i="5"/>
  <c r="C9" i="5"/>
  <c r="U6" i="5"/>
  <c r="K5" i="5"/>
  <c r="U3" i="5"/>
  <c r="K3" i="5"/>
  <c r="C39" i="5" s="1"/>
  <c r="D39" i="5" s="1"/>
  <c r="U2" i="5"/>
  <c r="U1" i="5"/>
  <c r="J1" i="5"/>
  <c r="C34" i="4"/>
  <c r="C37" i="4"/>
  <c r="C36" i="5" l="1"/>
  <c r="E32" i="5"/>
  <c r="B24" i="5"/>
  <c r="D8" i="5"/>
  <c r="C60" i="4"/>
  <c r="C61" i="4"/>
  <c r="C62" i="4"/>
  <c r="C65" i="4"/>
  <c r="C30" i="4"/>
  <c r="C12" i="4"/>
  <c r="D36" i="5" l="1"/>
  <c r="D34" i="5" s="1"/>
  <c r="E24" i="5"/>
  <c r="E21" i="5" s="1"/>
  <c r="B20" i="5"/>
  <c r="E23" i="5"/>
  <c r="U6" i="4"/>
  <c r="L5" i="4"/>
  <c r="U3" i="4"/>
  <c r="U2" i="4"/>
  <c r="U1" i="4"/>
  <c r="J1" i="4"/>
  <c r="C51" i="4"/>
  <c r="C53" i="4"/>
  <c r="C27" i="4"/>
  <c r="C24" i="4"/>
  <c r="C23" i="4"/>
  <c r="C22" i="4"/>
  <c r="C18" i="4"/>
  <c r="C16" i="4"/>
  <c r="C9" i="4"/>
  <c r="E41" i="4" l="1"/>
  <c r="E51" i="4" s="1"/>
  <c r="B51" i="4" s="1"/>
  <c r="B53" i="4"/>
  <c r="E53" i="4" s="1"/>
  <c r="B54" i="4" s="1"/>
  <c r="C46" i="4"/>
  <c r="D46" i="4" s="1"/>
  <c r="C43" i="4"/>
  <c r="D8" i="4"/>
  <c r="E15" i="5"/>
  <c r="E20" i="5" s="1"/>
  <c r="C20" i="5" s="1"/>
  <c r="B24" i="4"/>
  <c r="B20" i="4" s="1"/>
  <c r="E52" i="4"/>
  <c r="E54" i="4" l="1"/>
  <c r="B57" i="4" s="1"/>
  <c r="B55" i="4"/>
  <c r="B65" i="4"/>
  <c r="D43" i="4"/>
  <c r="D41" i="4" s="1"/>
  <c r="E24" i="4"/>
  <c r="E21" i="4" s="1"/>
  <c r="C52" i="4"/>
  <c r="E65" i="4" l="1"/>
  <c r="B66" i="4" s="1"/>
  <c r="E66" i="4" s="1"/>
  <c r="C66" i="4" s="1"/>
  <c r="E64" i="4"/>
  <c r="B64" i="4" s="1"/>
  <c r="C54" i="4"/>
  <c r="E50" i="5" l="1"/>
  <c r="E39" i="4"/>
  <c r="C50" i="5" l="1"/>
  <c r="B51" i="5"/>
  <c r="E51" i="5" s="1"/>
  <c r="C51" i="5" l="1"/>
  <c r="B52" i="5"/>
  <c r="E52" i="5" l="1"/>
  <c r="E23" i="4"/>
  <c r="B56" i="5" l="1"/>
  <c r="E56" i="5" s="1"/>
  <c r="C56" i="5" s="1"/>
  <c r="E55" i="5"/>
  <c r="E54" i="5"/>
  <c r="E53" i="5"/>
  <c r="C52" i="5"/>
  <c r="E15" i="4" l="1"/>
  <c r="E20" i="4" l="1"/>
  <c r="C20" i="4" s="1"/>
  <c r="E55" i="4" l="1"/>
  <c r="B56" i="4" s="1"/>
  <c r="E56" i="4" s="1"/>
  <c r="E57" i="4" l="1"/>
  <c r="B58" i="4" s="1"/>
  <c r="C57" i="4" l="1"/>
  <c r="E58" i="4"/>
  <c r="B59" i="4" s="1"/>
  <c r="E59" i="4" l="1"/>
  <c r="C58" i="4"/>
  <c r="B63" i="4" l="1"/>
  <c r="E63" i="4" s="1"/>
  <c r="E60" i="4"/>
  <c r="E62" i="4"/>
  <c r="E61" i="4"/>
  <c r="C59" i="4"/>
  <c r="C63" i="4" l="1"/>
  <c r="D39" i="4" l="1"/>
  <c r="C41" i="5" l="1"/>
  <c r="B41" i="5" s="1"/>
  <c r="E40" i="5" s="1"/>
  <c r="B40" i="5" s="1"/>
  <c r="E39" i="5" s="1"/>
  <c r="B39" i="5" l="1"/>
  <c r="E38" i="5" s="1"/>
  <c r="B38" i="5" s="1"/>
  <c r="E37" i="5" s="1"/>
  <c r="B37" i="5" l="1"/>
  <c r="E36" i="5" s="1"/>
  <c r="E50" i="4"/>
  <c r="B50" i="4" s="1"/>
  <c r="E49" i="4" s="1"/>
  <c r="B49" i="4" s="1"/>
  <c r="E48" i="4" s="1"/>
  <c r="B48" i="4" s="1"/>
  <c r="E47" i="4" s="1"/>
  <c r="B47" i="4" s="1"/>
  <c r="E46" i="4" s="1"/>
  <c r="B36" i="5" l="1"/>
  <c r="E35" i="5" s="1"/>
  <c r="B46" i="4"/>
  <c r="E45" i="4" s="1"/>
  <c r="B45" i="4" s="1"/>
  <c r="E44" i="4" s="1"/>
  <c r="B44" i="4" s="1"/>
  <c r="E43" i="4" s="1"/>
  <c r="B43" i="4" l="1"/>
  <c r="E42" i="4" s="1"/>
  <c r="B42" i="4" s="1"/>
  <c r="B41" i="4" s="1"/>
  <c r="C41" i="4" s="1"/>
  <c r="E40" i="4" l="1"/>
  <c r="B40" i="4" s="1"/>
  <c r="B39" i="4" s="1"/>
  <c r="E32" i="4" l="1"/>
  <c r="C39" i="4"/>
  <c r="E38" i="4" l="1"/>
  <c r="B38" i="4" s="1"/>
  <c r="B32" i="4"/>
  <c r="C32" i="4" l="1"/>
  <c r="E25" i="4"/>
  <c r="E37" i="4"/>
  <c r="B37" i="4" s="1"/>
  <c r="E36" i="4" s="1"/>
  <c r="B36" i="4" s="1"/>
  <c r="C38" i="4"/>
  <c r="C36" i="4" l="1"/>
  <c r="E35" i="4"/>
  <c r="B35" i="4" s="1"/>
  <c r="B25" i="4"/>
  <c r="E31" i="4"/>
  <c r="B31" i="4" s="1"/>
  <c r="C25" i="4" l="1"/>
  <c r="E19" i="4"/>
  <c r="B19" i="4" s="1"/>
  <c r="E8" i="4"/>
  <c r="E34" i="4"/>
  <c r="B34" i="4" s="1"/>
  <c r="E33" i="4" s="1"/>
  <c r="B33" i="4" s="1"/>
  <c r="C33" i="4" s="1"/>
  <c r="C35" i="4"/>
  <c r="C31" i="4"/>
  <c r="E30" i="4"/>
  <c r="B30" i="4" s="1"/>
  <c r="E29" i="4" s="1"/>
  <c r="B29" i="4" s="1"/>
  <c r="E18" i="4" l="1"/>
  <c r="B18" i="4" s="1"/>
  <c r="E17" i="4" s="1"/>
  <c r="B17" i="4" s="1"/>
  <c r="E16" i="4" s="1"/>
  <c r="B16" i="4" s="1"/>
  <c r="B15" i="4" s="1"/>
  <c r="D15" i="4" s="1"/>
  <c r="C15" i="4" s="1"/>
  <c r="C19" i="4"/>
  <c r="E28" i="4"/>
  <c r="B28" i="4" s="1"/>
  <c r="C29" i="4"/>
  <c r="B8" i="4"/>
  <c r="E14" i="4"/>
  <c r="B14" i="4" s="1"/>
  <c r="C28" i="4" l="1"/>
  <c r="E27" i="4"/>
  <c r="B27" i="4" s="1"/>
  <c r="E26" i="4" s="1"/>
  <c r="B26" i="4" s="1"/>
  <c r="C26" i="4" s="1"/>
  <c r="C14" i="4"/>
  <c r="E13" i="4"/>
  <c r="B13" i="4" s="1"/>
  <c r="C8" i="4"/>
  <c r="B23" i="4"/>
  <c r="E22" i="4" s="1"/>
  <c r="B22" i="4"/>
  <c r="B21" i="4" s="1"/>
  <c r="D21" i="4" s="1"/>
  <c r="C21" i="4" s="1"/>
  <c r="B9" i="4"/>
  <c r="E12" i="4" l="1"/>
  <c r="B12" i="4" s="1"/>
  <c r="E11" i="4" s="1"/>
  <c r="B11" i="4" s="1"/>
  <c r="C13" i="4"/>
  <c r="C11" i="4" l="1"/>
  <c r="E10" i="4"/>
  <c r="B10" i="4" s="1"/>
  <c r="E9" i="4" l="1"/>
  <c r="C10" i="4"/>
  <c r="B35" i="5"/>
  <c r="B34" i="5" s="1"/>
  <c r="D32" i="5" s="1"/>
  <c r="C34" i="5" l="1"/>
  <c r="E33" i="5"/>
  <c r="B33" i="5" s="1"/>
  <c r="B32" i="5" s="1"/>
  <c r="E25" i="5" s="1"/>
  <c r="E31" i="5" l="1"/>
  <c r="B31" i="5" s="1"/>
  <c r="B25" i="5"/>
  <c r="C32" i="5"/>
  <c r="C25" i="5" l="1"/>
  <c r="E8" i="5"/>
  <c r="E14" i="5" s="1"/>
  <c r="B14" i="5" s="1"/>
  <c r="E19" i="5"/>
  <c r="B19" i="5" s="1"/>
  <c r="E30" i="5"/>
  <c r="B30" i="5" s="1"/>
  <c r="E29" i="5" s="1"/>
  <c r="B29" i="5" s="1"/>
  <c r="C31" i="5"/>
  <c r="C29" i="5" l="1"/>
  <c r="E28" i="5"/>
  <c r="B28" i="5" s="1"/>
  <c r="C19" i="5"/>
  <c r="E18" i="5"/>
  <c r="B18" i="5" s="1"/>
  <c r="E17" i="5" s="1"/>
  <c r="B17" i="5" s="1"/>
  <c r="E16" i="5" s="1"/>
  <c r="B16" i="5" s="1"/>
  <c r="B15" i="5" s="1"/>
  <c r="D15" i="5" s="1"/>
  <c r="C15" i="5" s="1"/>
  <c r="C14" i="5"/>
  <c r="E13" i="5"/>
  <c r="B13" i="5" s="1"/>
  <c r="C13" i="5" l="1"/>
  <c r="E12" i="5"/>
  <c r="B12" i="5" s="1"/>
  <c r="E11" i="5" s="1"/>
  <c r="B11" i="5" s="1"/>
  <c r="E27" i="5"/>
  <c r="B27" i="5" s="1"/>
  <c r="E26" i="5" s="1"/>
  <c r="B26" i="5" s="1"/>
  <c r="C26" i="5" s="1"/>
  <c r="C28" i="5"/>
  <c r="C11" i="5" l="1"/>
  <c r="E10" i="5"/>
  <c r="B10" i="5" s="1"/>
  <c r="C10" i="5" l="1"/>
  <c r="E9" i="5"/>
  <c r="B9" i="5" s="1"/>
  <c r="B8" i="5" s="1"/>
  <c r="C8" i="5" l="1"/>
  <c r="B22" i="5"/>
  <c r="B21" i="5" s="1"/>
  <c r="C21" i="5" s="1"/>
  <c r="B23" i="5"/>
  <c r="E22" i="5" s="1"/>
</calcChain>
</file>

<file path=xl/sharedStrings.xml><?xml version="1.0" encoding="utf-8"?>
<sst xmlns="http://schemas.openxmlformats.org/spreadsheetml/2006/main" count="361" uniqueCount="108">
  <si>
    <t xml:space="preserve">Intitulé de l'Opération </t>
  </si>
  <si>
    <t>Paramètres et Informations</t>
  </si>
  <si>
    <t>Numéro de C6</t>
  </si>
  <si>
    <t>CDP:</t>
  </si>
  <si>
    <t>Compte:</t>
  </si>
  <si>
    <t>Date début travaux :</t>
  </si>
  <si>
    <t>Date MAJ</t>
  </si>
  <si>
    <t>Nom</t>
  </si>
  <si>
    <t xml:space="preserve">Début </t>
  </si>
  <si>
    <t>Fin</t>
  </si>
  <si>
    <t>DI</t>
  </si>
  <si>
    <t>ACQD (topo/DT Etudes)</t>
  </si>
  <si>
    <t>Analyse Risque</t>
  </si>
  <si>
    <t>RP</t>
  </si>
  <si>
    <t>RP3</t>
  </si>
  <si>
    <t>AVP</t>
  </si>
  <si>
    <t>PRO</t>
  </si>
  <si>
    <t>REA</t>
  </si>
  <si>
    <t>MARCHE</t>
  </si>
  <si>
    <t>PROCEDURES</t>
  </si>
  <si>
    <t>DP organismes</t>
  </si>
  <si>
    <t>TRAVAUX</t>
  </si>
  <si>
    <t>MES</t>
  </si>
  <si>
    <t>Date retour M&amp;T IDF</t>
  </si>
  <si>
    <t>Reunion de lancement</t>
  </si>
  <si>
    <t xml:space="preserve">Etudes </t>
  </si>
  <si>
    <t>Quitus/FAI</t>
  </si>
  <si>
    <t>Durée (en M)</t>
  </si>
  <si>
    <t>Durée (en jours)</t>
  </si>
  <si>
    <t>KickOff Sécurité</t>
  </si>
  <si>
    <t>Week-end CP 1</t>
  </si>
  <si>
    <t>Week-end CP 2</t>
  </si>
  <si>
    <t>Week-end CP 3</t>
  </si>
  <si>
    <t>APO</t>
  </si>
  <si>
    <t>Phasage Projet :</t>
  </si>
  <si>
    <t>Stratégie marché/envoi DCE</t>
  </si>
  <si>
    <t>Avis PRA</t>
  </si>
  <si>
    <t>Notification</t>
  </si>
  <si>
    <t>Rédaction DCE</t>
  </si>
  <si>
    <t>Etudes + Investigation</t>
  </si>
  <si>
    <t>Etudes + Investigations</t>
  </si>
  <si>
    <t>Passage CEMA</t>
  </si>
  <si>
    <t>Passage CEMA + Attribution</t>
  </si>
  <si>
    <t>Consultation/Négociation</t>
  </si>
  <si>
    <r>
      <rPr>
        <b/>
        <sz val="14"/>
        <color rgb="FFFF0000"/>
        <rFont val="Calibri"/>
        <family val="2"/>
        <scheme val="minor"/>
      </rPr>
      <t>*</t>
    </r>
    <r>
      <rPr>
        <b/>
        <sz val="14"/>
        <color theme="1"/>
        <rFont val="Calibri"/>
        <family val="2"/>
        <scheme val="minor"/>
      </rPr>
      <t xml:space="preserve">    =  cellules à remplir obligatoirement</t>
    </r>
  </si>
  <si>
    <t>Situation Actuelle</t>
  </si>
  <si>
    <t xml:space="preserve"> </t>
  </si>
  <si>
    <t>Etudes exe + installation chantier</t>
  </si>
  <si>
    <t>OS Etudes &amp; Travaux</t>
  </si>
  <si>
    <t>Durée des travaux principaux (en mois)</t>
  </si>
  <si>
    <t>Réunion de lancement</t>
  </si>
  <si>
    <t>Etudes exe + installation de chantier</t>
  </si>
  <si>
    <t>Travaux principaux</t>
  </si>
  <si>
    <t>Travaux préparatoires</t>
  </si>
  <si>
    <t>Travaux pincipaux</t>
  </si>
  <si>
    <t>Travaux préalables</t>
  </si>
  <si>
    <t>Montant Opération</t>
  </si>
  <si>
    <t>Montant Opération :</t>
  </si>
  <si>
    <t>Délais lettre de rejet</t>
  </si>
  <si>
    <t>Travaux de Finitions</t>
  </si>
  <si>
    <t xml:space="preserve">Besoin de Schémas d'éxécution ? </t>
  </si>
  <si>
    <t>Date de mise à Jour</t>
  </si>
  <si>
    <t xml:space="preserve">Week-End CP </t>
  </si>
  <si>
    <t>OUI                               NON</t>
  </si>
  <si>
    <t>NON                    1               2              3</t>
  </si>
  <si>
    <t xml:space="preserve">Opération </t>
  </si>
  <si>
    <t>Travaux</t>
  </si>
  <si>
    <t>Conditions</t>
  </si>
  <si>
    <t>Informations</t>
  </si>
  <si>
    <r>
      <t xml:space="preserve">Montant du Projet </t>
    </r>
    <r>
      <rPr>
        <b/>
        <sz val="14"/>
        <rFont val="Calibri"/>
        <family val="2"/>
        <scheme val="minor"/>
      </rPr>
      <t>(en €)</t>
    </r>
  </si>
  <si>
    <r>
      <t xml:space="preserve">Date début Travaux </t>
    </r>
    <r>
      <rPr>
        <b/>
        <sz val="12"/>
        <rFont val="Calibri"/>
        <family val="2"/>
        <scheme val="minor"/>
      </rPr>
      <t>(format jj/mm/aaaa)</t>
    </r>
  </si>
  <si>
    <r>
      <t xml:space="preserve">Montant du Marché principal </t>
    </r>
    <r>
      <rPr>
        <b/>
        <sz val="14"/>
        <rFont val="Calibri"/>
        <family val="2"/>
        <scheme val="minor"/>
      </rPr>
      <t>(en €)</t>
    </r>
  </si>
  <si>
    <t>Diag Sécurité Sureté et procédures admin</t>
  </si>
  <si>
    <t>Procédures administratives</t>
  </si>
  <si>
    <t>RP0 Logistique</t>
  </si>
  <si>
    <t>RP1 Logistique</t>
  </si>
  <si>
    <t>Reunion de lancement &amp; analyse de risque</t>
  </si>
  <si>
    <t>Faire les DT REA</t>
  </si>
  <si>
    <t>Passage CFIE/CNIE/Comités</t>
  </si>
  <si>
    <t>Envoi des retour chantier Schéma Signalo</t>
  </si>
  <si>
    <t>jj/mm/aaaa</t>
  </si>
  <si>
    <t xml:space="preserve">Procédures Environementales </t>
  </si>
  <si>
    <t>Investigations</t>
  </si>
  <si>
    <t>Procédures Environementales</t>
  </si>
  <si>
    <t xml:space="preserve">Date envoi AVP + délais traitement DPU </t>
  </si>
  <si>
    <t>Date envoi PRO + délais traitement DPU</t>
  </si>
  <si>
    <t xml:space="preserve">Date envoi DI + délais traitement DPU </t>
  </si>
  <si>
    <t>Date envoi AVP + délais traitement DPU</t>
  </si>
  <si>
    <t>Date envoi DI + délais traitement DPU</t>
  </si>
  <si>
    <t>Montant du marché principal :</t>
  </si>
  <si>
    <t>Montant du marché principal:</t>
  </si>
  <si>
    <t>PO:</t>
  </si>
  <si>
    <t>Pilote d'Opération</t>
  </si>
  <si>
    <t>Chef de Projet</t>
  </si>
  <si>
    <t xml:space="preserve">Dans le retroplanning qui suit, ne modifier que les cases avec un fond vert </t>
  </si>
  <si>
    <t>*</t>
  </si>
  <si>
    <t xml:space="preserve">Quel type de planning désirez vous établir ? </t>
  </si>
  <si>
    <t>Deux types de planning sont réalisables:</t>
  </si>
  <si>
    <r>
      <t xml:space="preserve">                          Le </t>
    </r>
    <r>
      <rPr>
        <b/>
        <sz val="12"/>
        <color theme="1"/>
        <rFont val="Calibri"/>
        <family val="2"/>
        <scheme val="minor"/>
      </rPr>
      <t>planning simple</t>
    </r>
    <r>
      <rPr>
        <sz val="12"/>
        <color theme="1"/>
        <rFont val="Calibri"/>
        <family val="2"/>
        <scheme val="minor"/>
      </rPr>
      <t xml:space="preserve"> se base sur une date de lancement de la phase d'émergence de l'opération puis déroule toutes   les tâches clefs du projet</t>
    </r>
  </si>
  <si>
    <t xml:space="preserve">OUTIL RETRO PLANNING </t>
  </si>
  <si>
    <t>Lancement de l'Emergence</t>
  </si>
  <si>
    <t>Lancement de l'émergence :</t>
  </si>
  <si>
    <r>
      <t xml:space="preserve">Date lancement de l'Emergence </t>
    </r>
    <r>
      <rPr>
        <b/>
        <sz val="9"/>
        <rFont val="Calibri"/>
        <family val="2"/>
        <scheme val="minor"/>
      </rPr>
      <t>(format jj/mm/aaaa)</t>
    </r>
  </si>
  <si>
    <t>jalons</t>
  </si>
  <si>
    <t xml:space="preserve">OUTIL PLANNING SIMPLE </t>
  </si>
  <si>
    <t>DMD - DPA - Agence Projet IdF</t>
  </si>
  <si>
    <r>
      <t xml:space="preserve">    Le </t>
    </r>
    <r>
      <rPr>
        <b/>
        <sz val="12"/>
        <color theme="1"/>
        <rFont val="Calibri"/>
        <family val="2"/>
        <scheme val="minor"/>
      </rPr>
      <t>rétroplanning</t>
    </r>
    <r>
      <rPr>
        <sz val="12"/>
        <color theme="1"/>
        <rFont val="Calibri"/>
        <family val="2"/>
        <scheme val="minor"/>
      </rPr>
      <t xml:space="preserve"> se base sur la date de début des travaux et en déduit les différents jalons du projet.</t>
    </r>
  </si>
  <si>
    <t>Bienvenue dans l'outil de planification des opérations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</si>
</sst>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dd/mm/yy;@"/>
    <numFmt numFmtId="166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9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1" fillId="9" borderId="0" applyNumberFormat="0" applyBorder="0" applyAlignment="0" applyProtection="0"/>
    <xf numFmtId="44" fontId="1" fillId="0" borderId="0" applyFont="0" applyFill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</cellStyleXfs>
  <cellXfs count="125">
    <xf numFmtId="0" fontId="0" fillId="0" borderId="0" xfId="0"/>
    <xf numFmtId="0" fontId="0" fillId="0" borderId="0" xfId="0" applyProtection="1">
      <protection locked="0"/>
    </xf>
    <xf numFmtId="166" fontId="0" fillId="10" borderId="17" xfId="0" applyNumberFormat="1" applyFill="1" applyBorder="1" applyAlignment="1" applyProtection="1">
      <alignment horizontal="center"/>
      <protection locked="0"/>
    </xf>
    <xf numFmtId="0" fontId="3" fillId="3" borderId="15" xfId="0" applyFont="1" applyFill="1" applyBorder="1" applyProtection="1"/>
    <xf numFmtId="164" fontId="0" fillId="3" borderId="0" xfId="0" applyNumberFormat="1" applyFill="1" applyBorder="1" applyProtection="1"/>
    <xf numFmtId="0" fontId="0" fillId="3" borderId="15" xfId="0" applyFill="1" applyBorder="1" applyProtection="1"/>
    <xf numFmtId="0" fontId="0" fillId="3" borderId="0" xfId="0" applyFill="1" applyBorder="1" applyProtection="1"/>
    <xf numFmtId="14" fontId="0" fillId="3" borderId="0" xfId="0" applyNumberFormat="1" applyFill="1" applyBorder="1" applyProtection="1"/>
    <xf numFmtId="14" fontId="0" fillId="3" borderId="16" xfId="0" applyNumberFormat="1" applyFill="1" applyBorder="1" applyProtection="1"/>
    <xf numFmtId="165" fontId="0" fillId="4" borderId="17" xfId="0" applyNumberFormat="1" applyFill="1" applyBorder="1" applyProtection="1"/>
    <xf numFmtId="166" fontId="0" fillId="4" borderId="19" xfId="0" applyNumberFormat="1" applyFill="1" applyBorder="1" applyAlignment="1" applyProtection="1">
      <alignment horizontal="center"/>
    </xf>
    <xf numFmtId="166" fontId="0" fillId="4" borderId="18" xfId="0" applyNumberFormat="1" applyFill="1" applyBorder="1" applyAlignment="1" applyProtection="1">
      <alignment horizontal="center"/>
    </xf>
    <xf numFmtId="165" fontId="0" fillId="0" borderId="17" xfId="0" applyNumberFormat="1" applyFill="1" applyBorder="1" applyProtection="1"/>
    <xf numFmtId="166" fontId="0" fillId="6" borderId="17" xfId="0" applyNumberFormat="1" applyFill="1" applyBorder="1" applyAlignment="1" applyProtection="1">
      <alignment horizontal="center"/>
    </xf>
    <xf numFmtId="166" fontId="0" fillId="4" borderId="17" xfId="0" applyNumberFormat="1" applyFill="1" applyBorder="1" applyAlignment="1" applyProtection="1">
      <alignment horizontal="center"/>
    </xf>
    <xf numFmtId="166" fontId="0" fillId="6" borderId="21" xfId="0" applyNumberFormat="1" applyFill="1" applyBorder="1" applyAlignment="1" applyProtection="1">
      <alignment horizontal="center"/>
    </xf>
    <xf numFmtId="165" fontId="0" fillId="5" borderId="17" xfId="0" applyNumberFormat="1" applyFill="1" applyBorder="1" applyProtection="1"/>
    <xf numFmtId="166" fontId="0" fillId="5" borderId="17" xfId="0" applyNumberFormat="1" applyFill="1" applyBorder="1" applyAlignment="1" applyProtection="1">
      <alignment horizontal="center"/>
    </xf>
    <xf numFmtId="165" fontId="0" fillId="4" borderId="20" xfId="0" applyNumberFormat="1" applyFill="1" applyBorder="1" applyProtection="1"/>
    <xf numFmtId="166" fontId="0" fillId="6" borderId="22" xfId="0" applyNumberFormat="1" applyFill="1" applyBorder="1" applyAlignment="1" applyProtection="1">
      <alignment horizontal="center"/>
    </xf>
    <xf numFmtId="0" fontId="0" fillId="0" borderId="0" xfId="0" applyProtection="1"/>
    <xf numFmtId="0" fontId="12" fillId="3" borderId="15" xfId="0" applyFont="1" applyFill="1" applyBorder="1" applyProtection="1"/>
    <xf numFmtId="166" fontId="0" fillId="6" borderId="26" xfId="0" applyNumberFormat="1" applyFill="1" applyBorder="1" applyAlignment="1" applyProtection="1">
      <alignment horizontal="center"/>
    </xf>
    <xf numFmtId="166" fontId="0" fillId="10" borderId="22" xfId="0" applyNumberFormat="1" applyFill="1" applyBorder="1" applyAlignment="1" applyProtection="1">
      <alignment horizontal="center"/>
      <protection locked="0"/>
    </xf>
    <xf numFmtId="42" fontId="0" fillId="3" borderId="0" xfId="4" applyNumberFormat="1" applyFont="1" applyFill="1" applyBorder="1" applyProtection="1"/>
    <xf numFmtId="0" fontId="4" fillId="0" borderId="0" xfId="0" applyFont="1" applyFill="1" applyProtection="1">
      <protection locked="0"/>
    </xf>
    <xf numFmtId="42" fontId="0" fillId="3" borderId="0" xfId="0" applyNumberFormat="1" applyFill="1" applyBorder="1" applyProtection="1"/>
    <xf numFmtId="0" fontId="2" fillId="2" borderId="15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4" borderId="0" xfId="0" applyFon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Fill="1" applyBorder="1" applyProtection="1"/>
    <xf numFmtId="166" fontId="0" fillId="6" borderId="17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Protection="1"/>
    <xf numFmtId="0" fontId="0" fillId="3" borderId="3" xfId="0" applyFill="1" applyBorder="1" applyProtection="1"/>
    <xf numFmtId="0" fontId="2" fillId="3" borderId="5" xfId="0" applyFont="1" applyFill="1" applyBorder="1" applyProtection="1"/>
    <xf numFmtId="0" fontId="2" fillId="3" borderId="15" xfId="0" applyFont="1" applyFill="1" applyBorder="1" applyProtection="1"/>
    <xf numFmtId="0" fontId="0" fillId="3" borderId="2" xfId="0" applyFill="1" applyBorder="1" applyProtection="1"/>
    <xf numFmtId="0" fontId="2" fillId="3" borderId="0" xfId="0" applyFont="1" applyFill="1" applyBorder="1" applyProtection="1"/>
    <xf numFmtId="0" fontId="0" fillId="3" borderId="4" xfId="0" applyFill="1" applyBorder="1" applyProtection="1"/>
    <xf numFmtId="0" fontId="13" fillId="3" borderId="0" xfId="0" applyFont="1" applyFill="1" applyBorder="1" applyProtection="1"/>
    <xf numFmtId="0" fontId="0" fillId="3" borderId="16" xfId="0" applyFill="1" applyBorder="1" applyProtection="1"/>
    <xf numFmtId="0" fontId="0" fillId="3" borderId="6" xfId="0" applyFill="1" applyBorder="1" applyProtection="1"/>
    <xf numFmtId="0" fontId="0" fillId="3" borderId="0" xfId="0" applyNumberFormat="1" applyFill="1" applyBorder="1" applyProtection="1"/>
    <xf numFmtId="42" fontId="8" fillId="11" borderId="10" xfId="1" applyNumberFormat="1" applyFont="1" applyFill="1" applyBorder="1" applyAlignment="1" applyProtection="1">
      <alignment horizontal="right" vertical="center"/>
      <protection locked="0"/>
    </xf>
    <xf numFmtId="14" fontId="8" fillId="11" borderId="8" xfId="1" applyNumberFormat="1" applyFont="1" applyFill="1" applyBorder="1" applyAlignment="1" applyProtection="1">
      <alignment horizontal="right" vertical="center"/>
      <protection locked="0"/>
    </xf>
    <xf numFmtId="0" fontId="9" fillId="11" borderId="18" xfId="0" applyFont="1" applyFill="1" applyBorder="1" applyAlignment="1" applyProtection="1">
      <alignment horizontal="center" wrapText="1"/>
    </xf>
    <xf numFmtId="0" fontId="9" fillId="11" borderId="18" xfId="0" applyFont="1" applyFill="1" applyBorder="1" applyProtection="1"/>
    <xf numFmtId="0" fontId="11" fillId="11" borderId="23" xfId="0" applyFont="1" applyFill="1" applyBorder="1" applyAlignment="1" applyProtection="1">
      <alignment horizontal="center"/>
    </xf>
    <xf numFmtId="0" fontId="0" fillId="11" borderId="24" xfId="0" applyFill="1" applyBorder="1" applyProtection="1"/>
    <xf numFmtId="0" fontId="0" fillId="11" borderId="25" xfId="0" applyFill="1" applyBorder="1" applyProtection="1"/>
    <xf numFmtId="0" fontId="0" fillId="11" borderId="3" xfId="0" applyFill="1" applyBorder="1" applyProtection="1"/>
    <xf numFmtId="0" fontId="0" fillId="11" borderId="0" xfId="0" applyFill="1" applyBorder="1" applyProtection="1"/>
    <xf numFmtId="0" fontId="0" fillId="11" borderId="4" xfId="0" applyFill="1" applyBorder="1" applyProtection="1"/>
    <xf numFmtId="0" fontId="7" fillId="11" borderId="3" xfId="0" applyFont="1" applyFill="1" applyBorder="1" applyProtection="1"/>
    <xf numFmtId="0" fontId="6" fillId="11" borderId="0" xfId="0" applyFont="1" applyFill="1" applyBorder="1" applyAlignment="1" applyProtection="1">
      <alignment horizontal="center" vertical="center"/>
    </xf>
    <xf numFmtId="0" fontId="0" fillId="11" borderId="6" xfId="0" applyFill="1" applyBorder="1" applyProtection="1"/>
    <xf numFmtId="0" fontId="8" fillId="11" borderId="12" xfId="1" applyNumberFormat="1" applyFont="1" applyFill="1" applyBorder="1" applyAlignment="1" applyProtection="1">
      <alignment horizontal="right" vertical="center"/>
      <protection locked="0"/>
    </xf>
    <xf numFmtId="0" fontId="15" fillId="11" borderId="7" xfId="2" applyFont="1" applyFill="1" applyBorder="1" applyProtection="1"/>
    <xf numFmtId="0" fontId="15" fillId="11" borderId="9" xfId="2" applyFont="1" applyFill="1" applyBorder="1" applyProtection="1"/>
    <xf numFmtId="0" fontId="15" fillId="11" borderId="11" xfId="2" applyFont="1" applyFill="1" applyBorder="1" applyProtection="1"/>
    <xf numFmtId="0" fontId="15" fillId="11" borderId="13" xfId="2" applyFont="1" applyFill="1" applyBorder="1" applyProtection="1"/>
    <xf numFmtId="0" fontId="15" fillId="11" borderId="28" xfId="2" applyFont="1" applyFill="1" applyBorder="1" applyProtection="1"/>
    <xf numFmtId="0" fontId="15" fillId="11" borderId="27" xfId="2" applyFont="1" applyFill="1" applyBorder="1" applyProtection="1"/>
    <xf numFmtId="0" fontId="15" fillId="11" borderId="29" xfId="2" applyFont="1" applyFill="1" applyBorder="1" applyProtection="1"/>
    <xf numFmtId="14" fontId="18" fillId="11" borderId="14" xfId="1" applyNumberFormat="1" applyFont="1" applyFill="1" applyBorder="1" applyAlignment="1" applyProtection="1">
      <alignment horizontal="center" vertical="center"/>
    </xf>
    <xf numFmtId="0" fontId="8" fillId="11" borderId="8" xfId="1" applyFont="1" applyFill="1" applyBorder="1" applyAlignment="1" applyProtection="1">
      <alignment horizontal="center" vertical="center"/>
      <protection locked="0"/>
    </xf>
    <xf numFmtId="0" fontId="8" fillId="11" borderId="10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2" fillId="11" borderId="4" xfId="0" applyFont="1" applyFill="1" applyBorder="1" applyProtection="1"/>
    <xf numFmtId="2" fontId="0" fillId="0" borderId="0" xfId="0" applyNumberFormat="1" applyProtection="1">
      <protection locked="0"/>
    </xf>
    <xf numFmtId="165" fontId="0" fillId="10" borderId="17" xfId="0" applyNumberFormat="1" applyFill="1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2" fillId="2" borderId="33" xfId="0" applyFont="1" applyFill="1" applyBorder="1" applyAlignment="1" applyProtection="1">
      <alignment horizontal="center" vertical="center"/>
    </xf>
    <xf numFmtId="0" fontId="1" fillId="12" borderId="1" xfId="5" applyBorder="1" applyProtection="1"/>
    <xf numFmtId="0" fontId="1" fillId="12" borderId="15" xfId="5" applyBorder="1" applyProtection="1"/>
    <xf numFmtId="0" fontId="1" fillId="12" borderId="2" xfId="5" applyBorder="1" applyProtection="1"/>
    <xf numFmtId="0" fontId="19" fillId="12" borderId="3" xfId="5" applyFont="1" applyBorder="1" applyProtection="1"/>
    <xf numFmtId="0" fontId="19" fillId="12" borderId="0" xfId="5" applyFont="1" applyBorder="1" applyProtection="1"/>
    <xf numFmtId="0" fontId="1" fillId="12" borderId="0" xfId="5" applyBorder="1" applyProtection="1"/>
    <xf numFmtId="0" fontId="1" fillId="12" borderId="4" xfId="5" applyBorder="1" applyProtection="1"/>
    <xf numFmtId="0" fontId="1" fillId="12" borderId="3" xfId="5" applyBorder="1" applyProtection="1"/>
    <xf numFmtId="0" fontId="19" fillId="12" borderId="3" xfId="5" applyFont="1" applyBorder="1" applyAlignment="1" applyProtection="1">
      <alignment horizontal="center"/>
    </xf>
    <xf numFmtId="0" fontId="19" fillId="12" borderId="0" xfId="5" applyFont="1" applyBorder="1" applyAlignment="1" applyProtection="1">
      <alignment horizontal="center"/>
    </xf>
    <xf numFmtId="0" fontId="19" fillId="12" borderId="4" xfId="5" applyFont="1" applyBorder="1" applyAlignment="1" applyProtection="1">
      <alignment horizontal="center"/>
    </xf>
    <xf numFmtId="0" fontId="19" fillId="12" borderId="3" xfId="5" applyFont="1" applyBorder="1" applyAlignment="1" applyProtection="1">
      <alignment wrapText="1"/>
    </xf>
    <xf numFmtId="0" fontId="1" fillId="12" borderId="4" xfId="5" applyBorder="1" applyAlignment="1" applyProtection="1">
      <alignment wrapText="1"/>
    </xf>
    <xf numFmtId="0" fontId="19" fillId="12" borderId="5" xfId="5" applyFont="1" applyBorder="1" applyProtection="1"/>
    <xf numFmtId="0" fontId="19" fillId="12" borderId="16" xfId="5" applyFont="1" applyBorder="1" applyProtection="1"/>
    <xf numFmtId="0" fontId="1" fillId="12" borderId="16" xfId="5" applyBorder="1" applyProtection="1"/>
    <xf numFmtId="0" fontId="1" fillId="12" borderId="6" xfId="5" applyBorder="1" applyProtection="1"/>
    <xf numFmtId="0" fontId="1" fillId="12" borderId="5" xfId="5" applyBorder="1" applyProtection="1"/>
    <xf numFmtId="0" fontId="0" fillId="11" borderId="5" xfId="0" applyFill="1" applyBorder="1" applyProtection="1"/>
    <xf numFmtId="0" fontId="0" fillId="11" borderId="16" xfId="0" applyFill="1" applyBorder="1" applyProtection="1"/>
    <xf numFmtId="42" fontId="18" fillId="11" borderId="8" xfId="1" applyNumberFormat="1" applyFont="1" applyFill="1" applyBorder="1" applyAlignment="1" applyProtection="1">
      <alignment horizontal="left" vertical="center"/>
    </xf>
    <xf numFmtId="42" fontId="18" fillId="11" borderId="10" xfId="1" applyNumberFormat="1" applyFont="1" applyFill="1" applyBorder="1" applyAlignment="1" applyProtection="1">
      <alignment horizontal="left" vertical="center"/>
    </xf>
    <xf numFmtId="42" fontId="18" fillId="11" borderId="12" xfId="1" applyNumberFormat="1" applyFont="1" applyFill="1" applyBorder="1" applyAlignment="1" applyProtection="1">
      <alignment horizontal="left" vertical="center"/>
    </xf>
    <xf numFmtId="0" fontId="20" fillId="12" borderId="0" xfId="5" applyFont="1" applyBorder="1" applyAlignment="1" applyProtection="1">
      <alignment horizontal="center"/>
    </xf>
    <xf numFmtId="0" fontId="21" fillId="12" borderId="1" xfId="5" applyFont="1" applyBorder="1" applyAlignment="1" applyProtection="1">
      <alignment horizontal="center"/>
    </xf>
    <xf numFmtId="0" fontId="21" fillId="12" borderId="15" xfId="5" applyFont="1" applyBorder="1" applyAlignment="1" applyProtection="1">
      <alignment horizontal="center"/>
    </xf>
    <xf numFmtId="0" fontId="21" fillId="12" borderId="2" xfId="5" applyFont="1" applyBorder="1" applyAlignment="1" applyProtection="1">
      <alignment horizontal="center"/>
    </xf>
    <xf numFmtId="0" fontId="19" fillId="12" borderId="3" xfId="5" applyFont="1" applyBorder="1" applyAlignment="1" applyProtection="1">
      <alignment horizontal="center" vertical="center" wrapText="1"/>
    </xf>
    <xf numFmtId="0" fontId="19" fillId="12" borderId="0" xfId="5" applyFont="1" applyBorder="1" applyAlignment="1" applyProtection="1">
      <alignment horizontal="center" vertical="center" wrapText="1"/>
    </xf>
    <xf numFmtId="0" fontId="19" fillId="12" borderId="4" xfId="5" applyFont="1" applyBorder="1" applyAlignment="1" applyProtection="1">
      <alignment horizontal="center" vertical="center" wrapText="1"/>
    </xf>
    <xf numFmtId="0" fontId="19" fillId="12" borderId="3" xfId="5" applyFont="1" applyBorder="1" applyAlignment="1" applyProtection="1">
      <alignment horizontal="center"/>
    </xf>
    <xf numFmtId="0" fontId="19" fillId="12" borderId="0" xfId="5" applyFont="1" applyBorder="1" applyAlignment="1" applyProtection="1">
      <alignment horizontal="center"/>
    </xf>
    <xf numFmtId="0" fontId="19" fillId="12" borderId="4" xfId="5" applyFont="1" applyBorder="1" applyAlignment="1" applyProtection="1">
      <alignment horizontal="center"/>
    </xf>
    <xf numFmtId="0" fontId="19" fillId="12" borderId="30" xfId="5" applyFont="1" applyBorder="1" applyAlignment="1" applyProtection="1">
      <alignment horizontal="center" vertical="center"/>
    </xf>
    <xf numFmtId="0" fontId="19" fillId="12" borderId="31" xfId="5" applyFont="1" applyBorder="1" applyAlignment="1" applyProtection="1">
      <alignment horizontal="center" vertical="center"/>
    </xf>
    <xf numFmtId="0" fontId="19" fillId="12" borderId="32" xfId="5" applyFont="1" applyBorder="1" applyAlignment="1" applyProtection="1">
      <alignment horizontal="center" vertical="center"/>
    </xf>
    <xf numFmtId="0" fontId="22" fillId="13" borderId="30" xfId="6" applyFont="1" applyBorder="1" applyAlignment="1" applyProtection="1">
      <alignment horizontal="center"/>
    </xf>
    <xf numFmtId="0" fontId="22" fillId="13" borderId="31" xfId="6" applyFont="1" applyBorder="1" applyAlignment="1" applyProtection="1">
      <alignment horizontal="center"/>
    </xf>
    <xf numFmtId="0" fontId="22" fillId="13" borderId="32" xfId="6" applyFont="1" applyBorder="1" applyAlignment="1" applyProtection="1">
      <alignment horizontal="center"/>
    </xf>
    <xf numFmtId="0" fontId="2" fillId="11" borderId="24" xfId="0" applyFont="1" applyFill="1" applyBorder="1" applyAlignment="1" applyProtection="1">
      <alignment horizontal="center" vertical="center" textRotation="135"/>
    </xf>
    <xf numFmtId="0" fontId="14" fillId="11" borderId="24" xfId="0" applyFont="1" applyFill="1" applyBorder="1" applyAlignment="1" applyProtection="1">
      <alignment horizontal="center" vertical="center" textRotation="135"/>
    </xf>
    <xf numFmtId="0" fontId="7" fillId="11" borderId="1" xfId="3" applyFont="1" applyFill="1" applyBorder="1" applyAlignment="1" applyProtection="1">
      <alignment horizontal="center" vertical="center"/>
    </xf>
    <xf numFmtId="0" fontId="7" fillId="11" borderId="15" xfId="3" applyFont="1" applyFill="1" applyBorder="1" applyAlignment="1" applyProtection="1">
      <alignment horizontal="center" vertical="center"/>
    </xf>
    <xf numFmtId="0" fontId="7" fillId="11" borderId="2" xfId="3" applyFont="1" applyFill="1" applyBorder="1" applyAlignment="1" applyProtection="1">
      <alignment horizontal="center" vertical="center"/>
    </xf>
    <xf numFmtId="0" fontId="7" fillId="11" borderId="3" xfId="3" applyFont="1" applyFill="1" applyBorder="1" applyAlignment="1" applyProtection="1">
      <alignment horizontal="center" vertical="center"/>
    </xf>
    <xf numFmtId="0" fontId="7" fillId="11" borderId="0" xfId="3" applyFont="1" applyFill="1" applyBorder="1" applyAlignment="1" applyProtection="1">
      <alignment horizontal="center" vertical="center"/>
    </xf>
    <xf numFmtId="0" fontId="7" fillId="11" borderId="4" xfId="3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textRotation="135"/>
    </xf>
  </cellXfs>
  <cellStyles count="7">
    <cellStyle name="20 % - Accent3" xfId="3" builtinId="38"/>
    <cellStyle name="20 % - Accent6" xfId="5" builtinId="50"/>
    <cellStyle name="40 % - Accent6" xfId="6" builtinId="51"/>
    <cellStyle name="60 % - Accent1" xfId="1" builtinId="32"/>
    <cellStyle name="60 % - Accent2" xfId="2" builtinId="36"/>
    <cellStyle name="Monétaire" xfId="4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86481934511266E-2"/>
          <c:y val="5.0593229652871274E-2"/>
          <c:w val="0.93877000331997784"/>
          <c:h val="0.9377043525287609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'RETRO PLANNING - DI-AVP-PRO-REA'!$B$7</c:f>
              <c:strCache>
                <c:ptCount val="1"/>
                <c:pt idx="0">
                  <c:v>Début 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'RETRO PLANNING - DI-AVP-PRO-REA'!$A$8:$A$67</c:f>
              <c:strCache>
                <c:ptCount val="60"/>
                <c:pt idx="0">
                  <c:v>DI</c:v>
                </c:pt>
                <c:pt idx="1">
                  <c:v>Reunion de lancement</c:v>
                </c:pt>
                <c:pt idx="2">
                  <c:v>Etudes </c:v>
                </c:pt>
                <c:pt idx="3">
                  <c:v>Date envoi DI + délais traitement DPU 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 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AVP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Investigations</c:v>
                </c:pt>
                <c:pt idx="21">
                  <c:v>Date envoi AVP + délais traitement DPU 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PRO</c:v>
                </c:pt>
                <c:pt idx="25">
                  <c:v>Investigations</c:v>
                </c:pt>
                <c:pt idx="26">
                  <c:v>Reunion de lancement &amp; analyse de risque</c:v>
                </c:pt>
                <c:pt idx="27">
                  <c:v>Etudes + Investigations</c:v>
                </c:pt>
                <c:pt idx="28">
                  <c:v>Date envoi PRO + délais traitement DPU</c:v>
                </c:pt>
                <c:pt idx="29">
                  <c:v>Date retour M&amp;T IDF</c:v>
                </c:pt>
                <c:pt idx="30">
                  <c:v>Passage CFIE/CNIE/Comités</c:v>
                </c:pt>
                <c:pt idx="31">
                  <c:v>REA</c:v>
                </c:pt>
                <c:pt idx="32">
                  <c:v>Reunion de lancement</c:v>
                </c:pt>
                <c:pt idx="33">
                  <c:v>MARCHE</c:v>
                </c:pt>
                <c:pt idx="34">
                  <c:v>Rédaction DCE</c:v>
                </c:pt>
                <c:pt idx="35">
                  <c:v>Stratégie marché/envoi DCE</c:v>
                </c:pt>
                <c:pt idx="36">
                  <c:v>Passage CEMA</c:v>
                </c:pt>
                <c:pt idx="37">
                  <c:v>Avis PRA</c:v>
                </c:pt>
                <c:pt idx="38">
                  <c:v>Consultation/Négociation</c:v>
                </c:pt>
                <c:pt idx="39">
                  <c:v>Passage CEMA + Attribution</c:v>
                </c:pt>
                <c:pt idx="40">
                  <c:v>Avis PRA</c:v>
                </c:pt>
                <c:pt idx="41">
                  <c:v>Notification</c:v>
                </c:pt>
                <c:pt idx="42">
                  <c:v>Délais lettre de rejet</c:v>
                </c:pt>
                <c:pt idx="43">
                  <c:v>DP organismes</c:v>
                </c:pt>
                <c:pt idx="44">
                  <c:v>TRAVAUX</c:v>
                </c:pt>
                <c:pt idx="45">
                  <c:v>OS Etudes &amp; Travaux</c:v>
                </c:pt>
                <c:pt idx="46">
                  <c:v>Etudes exe + installation chantier</c:v>
                </c:pt>
                <c:pt idx="47">
                  <c:v>Reunion de lancement</c:v>
                </c:pt>
                <c:pt idx="48">
                  <c:v>KickOff Sécurité</c:v>
                </c:pt>
                <c:pt idx="49">
                  <c:v>Travaux préalables</c:v>
                </c:pt>
                <c:pt idx="50">
                  <c:v>Travaux préparatoires</c:v>
                </c:pt>
                <c:pt idx="51">
                  <c:v>Travaux pincipaux</c:v>
                </c:pt>
                <c:pt idx="52">
                  <c:v>Week-end CP 1</c:v>
                </c:pt>
                <c:pt idx="53">
                  <c:v>Week-end CP 2</c:v>
                </c:pt>
                <c:pt idx="54">
                  <c:v>Week-end CP 3</c:v>
                </c:pt>
                <c:pt idx="55">
                  <c:v>Travaux de Finitions</c:v>
                </c:pt>
                <c:pt idx="56">
                  <c:v>Envoi des retour chantier Schéma Signalo</c:v>
                </c:pt>
                <c:pt idx="57">
                  <c:v>MES</c:v>
                </c:pt>
                <c:pt idx="58">
                  <c:v>Quitus/FAI</c:v>
                </c:pt>
                <c:pt idx="59">
                  <c:v>Situation Actuelle</c:v>
                </c:pt>
              </c:strCache>
            </c:strRef>
          </c:cat>
          <c:val>
            <c:numRef>
              <c:f>'RETRO PLANNING - DI-AVP-PRO-REA'!$B$8:$B$67</c:f>
              <c:numCache>
                <c:formatCode>dd/mm/yy;@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43480</c:v>
                </c:pt>
              </c:numCache>
            </c:numRef>
          </c:val>
        </c:ser>
        <c:ser>
          <c:idx val="1"/>
          <c:order val="1"/>
          <c:tx>
            <c:strRef>
              <c:f>'RETRO PLANNING - DI-AVP-PRO-REA'!$C$7</c:f>
              <c:strCache>
                <c:ptCount val="1"/>
                <c:pt idx="0">
                  <c:v>Durée (en jours)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2"/>
            <c:invertIfNegative val="0"/>
            <c:bubble3D val="0"/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8"/>
            <c:invertIfNegative val="0"/>
            <c:bubble3D val="0"/>
          </c:dPt>
          <c:dPt>
            <c:idx val="31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40"/>
            <c:invertIfNegative val="0"/>
            <c:bubble3D val="0"/>
          </c:dPt>
          <c:dPt>
            <c:idx val="44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5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1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'RETRO PLANNING - DI-AVP-PRO-REA'!$A$8:$A$67</c:f>
              <c:strCache>
                <c:ptCount val="60"/>
                <c:pt idx="0">
                  <c:v>DI</c:v>
                </c:pt>
                <c:pt idx="1">
                  <c:v>Reunion de lancement</c:v>
                </c:pt>
                <c:pt idx="2">
                  <c:v>Etudes </c:v>
                </c:pt>
                <c:pt idx="3">
                  <c:v>Date envoi DI + délais traitement DPU 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 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AVP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Investigations</c:v>
                </c:pt>
                <c:pt idx="21">
                  <c:v>Date envoi AVP + délais traitement DPU 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PRO</c:v>
                </c:pt>
                <c:pt idx="25">
                  <c:v>Investigations</c:v>
                </c:pt>
                <c:pt idx="26">
                  <c:v>Reunion de lancement &amp; analyse de risque</c:v>
                </c:pt>
                <c:pt idx="27">
                  <c:v>Etudes + Investigations</c:v>
                </c:pt>
                <c:pt idx="28">
                  <c:v>Date envoi PRO + délais traitement DPU</c:v>
                </c:pt>
                <c:pt idx="29">
                  <c:v>Date retour M&amp;T IDF</c:v>
                </c:pt>
                <c:pt idx="30">
                  <c:v>Passage CFIE/CNIE/Comités</c:v>
                </c:pt>
                <c:pt idx="31">
                  <c:v>REA</c:v>
                </c:pt>
                <c:pt idx="32">
                  <c:v>Reunion de lancement</c:v>
                </c:pt>
                <c:pt idx="33">
                  <c:v>MARCHE</c:v>
                </c:pt>
                <c:pt idx="34">
                  <c:v>Rédaction DCE</c:v>
                </c:pt>
                <c:pt idx="35">
                  <c:v>Stratégie marché/envoi DCE</c:v>
                </c:pt>
                <c:pt idx="36">
                  <c:v>Passage CEMA</c:v>
                </c:pt>
                <c:pt idx="37">
                  <c:v>Avis PRA</c:v>
                </c:pt>
                <c:pt idx="38">
                  <c:v>Consultation/Négociation</c:v>
                </c:pt>
                <c:pt idx="39">
                  <c:v>Passage CEMA + Attribution</c:v>
                </c:pt>
                <c:pt idx="40">
                  <c:v>Avis PRA</c:v>
                </c:pt>
                <c:pt idx="41">
                  <c:v>Notification</c:v>
                </c:pt>
                <c:pt idx="42">
                  <c:v>Délais lettre de rejet</c:v>
                </c:pt>
                <c:pt idx="43">
                  <c:v>DP organismes</c:v>
                </c:pt>
                <c:pt idx="44">
                  <c:v>TRAVAUX</c:v>
                </c:pt>
                <c:pt idx="45">
                  <c:v>OS Etudes &amp; Travaux</c:v>
                </c:pt>
                <c:pt idx="46">
                  <c:v>Etudes exe + installation chantier</c:v>
                </c:pt>
                <c:pt idx="47">
                  <c:v>Reunion de lancement</c:v>
                </c:pt>
                <c:pt idx="48">
                  <c:v>KickOff Sécurité</c:v>
                </c:pt>
                <c:pt idx="49">
                  <c:v>Travaux préalables</c:v>
                </c:pt>
                <c:pt idx="50">
                  <c:v>Travaux préparatoires</c:v>
                </c:pt>
                <c:pt idx="51">
                  <c:v>Travaux pincipaux</c:v>
                </c:pt>
                <c:pt idx="52">
                  <c:v>Week-end CP 1</c:v>
                </c:pt>
                <c:pt idx="53">
                  <c:v>Week-end CP 2</c:v>
                </c:pt>
                <c:pt idx="54">
                  <c:v>Week-end CP 3</c:v>
                </c:pt>
                <c:pt idx="55">
                  <c:v>Travaux de Finitions</c:v>
                </c:pt>
                <c:pt idx="56">
                  <c:v>Envoi des retour chantier Schéma Signalo</c:v>
                </c:pt>
                <c:pt idx="57">
                  <c:v>MES</c:v>
                </c:pt>
                <c:pt idx="58">
                  <c:v>Quitus/FAI</c:v>
                </c:pt>
                <c:pt idx="59">
                  <c:v>Situation Actuelle</c:v>
                </c:pt>
              </c:strCache>
            </c:strRef>
          </c:cat>
          <c:val>
            <c:numRef>
              <c:f>'RETRO PLANNING - DI-AVP-PRO-REA'!$C$8:$C$67</c:f>
              <c:numCache>
                <c:formatCode>0.0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150</c:v>
                </c:pt>
                <c:pt idx="35">
                  <c:v>81</c:v>
                </c:pt>
                <c:pt idx="36">
                  <c:v>15</c:v>
                </c:pt>
                <c:pt idx="37">
                  <c:v>15</c:v>
                </c:pt>
                <c:pt idx="38">
                  <c:v>94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10.95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81"/>
        <c:axId val="70301184"/>
        <c:axId val="70302720"/>
      </c:barChart>
      <c:catAx>
        <c:axId val="70301184"/>
        <c:scaling>
          <c:orientation val="maxMin"/>
        </c:scaling>
        <c:delete val="1"/>
        <c:axPos val="l"/>
        <c:majorGridlines>
          <c:spPr>
            <a:ln w="19050">
              <a:prstDash val="sysDot"/>
            </a:ln>
          </c:spPr>
        </c:majorGridlines>
        <c:majorTickMark val="out"/>
        <c:minorTickMark val="none"/>
        <c:tickLblPos val="nextTo"/>
        <c:crossAx val="70302720"/>
        <c:crosses val="autoZero"/>
        <c:auto val="1"/>
        <c:lblAlgn val="ctr"/>
        <c:lblOffset val="100"/>
        <c:noMultiLvlLbl val="0"/>
      </c:catAx>
      <c:valAx>
        <c:axId val="70302720"/>
        <c:scaling>
          <c:orientation val="minMax"/>
          <c:min val="43113"/>
        </c:scaling>
        <c:delete val="0"/>
        <c:axPos val="t"/>
        <c:majorGridlines/>
        <c:numFmt formatCode="m/d/yyyy" sourceLinked="0"/>
        <c:majorTickMark val="out"/>
        <c:minorTickMark val="none"/>
        <c:tickLblPos val="nextTo"/>
        <c:spPr>
          <a:noFill/>
        </c:spPr>
        <c:txPr>
          <a:bodyPr rot="1800000" vert="horz" anchor="ctr" anchorCtr="0"/>
          <a:lstStyle/>
          <a:p>
            <a:pPr>
              <a:defRPr/>
            </a:pPr>
            <a:endParaRPr lang="fr-FR"/>
          </a:p>
        </c:txPr>
        <c:crossAx val="70301184"/>
        <c:crosses val="autoZero"/>
        <c:crossBetween val="between"/>
        <c:majorUnit val="1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'PLANNING - DI-AVP-PRO-REA'!$B$7</c:f>
              <c:strCache>
                <c:ptCount val="1"/>
                <c:pt idx="0">
                  <c:v>Début 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'PLANNING - DI-AVP-PRO-REA'!$A$9:$A$68</c:f>
              <c:strCache>
                <c:ptCount val="60"/>
                <c:pt idx="0">
                  <c:v>DI</c:v>
                </c:pt>
                <c:pt idx="1">
                  <c:v>Reunion de lancement</c:v>
                </c:pt>
                <c:pt idx="2">
                  <c:v>Etudes </c:v>
                </c:pt>
                <c:pt idx="3">
                  <c:v>Date envoi DI + délais traitement DPU 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 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AVP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Investigations</c:v>
                </c:pt>
                <c:pt idx="21">
                  <c:v>Date envoi AVP + délais traitement DPU 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PRO</c:v>
                </c:pt>
                <c:pt idx="25">
                  <c:v>Investigations</c:v>
                </c:pt>
                <c:pt idx="26">
                  <c:v>Reunion de lancement &amp; analyse de risque</c:v>
                </c:pt>
                <c:pt idx="27">
                  <c:v>Etudes + Investigations</c:v>
                </c:pt>
                <c:pt idx="28">
                  <c:v>Date envoi PRO + délais traitement DPU</c:v>
                </c:pt>
                <c:pt idx="29">
                  <c:v>Date retour M&amp;T IDF</c:v>
                </c:pt>
                <c:pt idx="30">
                  <c:v>Passage CFIE/CNIE/Comités</c:v>
                </c:pt>
                <c:pt idx="31">
                  <c:v>REA</c:v>
                </c:pt>
                <c:pt idx="32">
                  <c:v>Reunion de lancement</c:v>
                </c:pt>
                <c:pt idx="33">
                  <c:v>MARCHE</c:v>
                </c:pt>
                <c:pt idx="34">
                  <c:v>Rédaction DCE</c:v>
                </c:pt>
                <c:pt idx="35">
                  <c:v>Stratégie marché/envoi DCE</c:v>
                </c:pt>
                <c:pt idx="36">
                  <c:v>Passage CEMA</c:v>
                </c:pt>
                <c:pt idx="37">
                  <c:v>Avis PRA</c:v>
                </c:pt>
                <c:pt idx="38">
                  <c:v>Consultation/Négociation</c:v>
                </c:pt>
                <c:pt idx="39">
                  <c:v>Passage CEMA + Attribution</c:v>
                </c:pt>
                <c:pt idx="40">
                  <c:v>Avis PRA</c:v>
                </c:pt>
                <c:pt idx="41">
                  <c:v>Notification</c:v>
                </c:pt>
                <c:pt idx="42">
                  <c:v>Délais lettre de rejet</c:v>
                </c:pt>
                <c:pt idx="43">
                  <c:v>DP organismes</c:v>
                </c:pt>
                <c:pt idx="44">
                  <c:v>TRAVAUX</c:v>
                </c:pt>
                <c:pt idx="45">
                  <c:v>OS Etudes &amp; Travaux</c:v>
                </c:pt>
                <c:pt idx="46">
                  <c:v>Etudes exe + installation chantier</c:v>
                </c:pt>
                <c:pt idx="47">
                  <c:v>Reunion de lancement</c:v>
                </c:pt>
                <c:pt idx="48">
                  <c:v>KickOff Sécurité</c:v>
                </c:pt>
                <c:pt idx="49">
                  <c:v>Travaux préalables</c:v>
                </c:pt>
                <c:pt idx="50">
                  <c:v>Travaux préparatoires</c:v>
                </c:pt>
                <c:pt idx="51">
                  <c:v>Travaux pincipaux</c:v>
                </c:pt>
                <c:pt idx="52">
                  <c:v>Week-end CP 1</c:v>
                </c:pt>
                <c:pt idx="53">
                  <c:v>Week-end CP 2</c:v>
                </c:pt>
                <c:pt idx="54">
                  <c:v>Week-end CP 3</c:v>
                </c:pt>
                <c:pt idx="55">
                  <c:v>Travaux de Finitions</c:v>
                </c:pt>
                <c:pt idx="56">
                  <c:v>Envoi des retour chantier Schéma Signalo</c:v>
                </c:pt>
                <c:pt idx="57">
                  <c:v>MES</c:v>
                </c:pt>
                <c:pt idx="58">
                  <c:v>Quitus/FAI</c:v>
                </c:pt>
                <c:pt idx="59">
                  <c:v>Situation Actuelle</c:v>
                </c:pt>
              </c:strCache>
            </c:strRef>
          </c:cat>
          <c:val>
            <c:numRef>
              <c:f>'PLANNING - DI-AVP-PRO-REA'!$B$9:$B$68</c:f>
              <c:numCache>
                <c:formatCode>dd/mm/yy;@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43480</c:v>
                </c:pt>
              </c:numCache>
            </c:numRef>
          </c:val>
        </c:ser>
        <c:ser>
          <c:idx val="1"/>
          <c:order val="1"/>
          <c:tx>
            <c:strRef>
              <c:f>'PLANNING - DI-AVP-PRO-REA'!$C$7</c:f>
              <c:strCache>
                <c:ptCount val="1"/>
                <c:pt idx="0">
                  <c:v>Durée (en jours)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2"/>
            <c:invertIfNegative val="0"/>
            <c:bubble3D val="0"/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8"/>
            <c:invertIfNegative val="0"/>
            <c:bubble3D val="0"/>
          </c:dPt>
          <c:dPt>
            <c:idx val="31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40"/>
            <c:invertIfNegative val="0"/>
            <c:bubble3D val="0"/>
          </c:dPt>
          <c:dPt>
            <c:idx val="44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54"/>
            <c:invertIfNegative val="0"/>
            <c:bubble3D val="0"/>
            <c:spPr>
              <a:solidFill>
                <a:srgbClr val="FF0000"/>
              </a:solidFill>
            </c:spPr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1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'PLANNING - DI-AVP-PRO-REA'!$A$9:$A$68</c:f>
              <c:strCache>
                <c:ptCount val="60"/>
                <c:pt idx="0">
                  <c:v>DI</c:v>
                </c:pt>
                <c:pt idx="1">
                  <c:v>Reunion de lancement</c:v>
                </c:pt>
                <c:pt idx="2">
                  <c:v>Etudes </c:v>
                </c:pt>
                <c:pt idx="3">
                  <c:v>Date envoi DI + délais traitement DPU 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 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AVP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Investigations</c:v>
                </c:pt>
                <c:pt idx="21">
                  <c:v>Date envoi AVP + délais traitement DPU 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PRO</c:v>
                </c:pt>
                <c:pt idx="25">
                  <c:v>Investigations</c:v>
                </c:pt>
                <c:pt idx="26">
                  <c:v>Reunion de lancement &amp; analyse de risque</c:v>
                </c:pt>
                <c:pt idx="27">
                  <c:v>Etudes + Investigations</c:v>
                </c:pt>
                <c:pt idx="28">
                  <c:v>Date envoi PRO + délais traitement DPU</c:v>
                </c:pt>
                <c:pt idx="29">
                  <c:v>Date retour M&amp;T IDF</c:v>
                </c:pt>
                <c:pt idx="30">
                  <c:v>Passage CFIE/CNIE/Comités</c:v>
                </c:pt>
                <c:pt idx="31">
                  <c:v>REA</c:v>
                </c:pt>
                <c:pt idx="32">
                  <c:v>Reunion de lancement</c:v>
                </c:pt>
                <c:pt idx="33">
                  <c:v>MARCHE</c:v>
                </c:pt>
                <c:pt idx="34">
                  <c:v>Rédaction DCE</c:v>
                </c:pt>
                <c:pt idx="35">
                  <c:v>Stratégie marché/envoi DCE</c:v>
                </c:pt>
                <c:pt idx="36">
                  <c:v>Passage CEMA</c:v>
                </c:pt>
                <c:pt idx="37">
                  <c:v>Avis PRA</c:v>
                </c:pt>
                <c:pt idx="38">
                  <c:v>Consultation/Négociation</c:v>
                </c:pt>
                <c:pt idx="39">
                  <c:v>Passage CEMA + Attribution</c:v>
                </c:pt>
                <c:pt idx="40">
                  <c:v>Avis PRA</c:v>
                </c:pt>
                <c:pt idx="41">
                  <c:v>Notification</c:v>
                </c:pt>
                <c:pt idx="42">
                  <c:v>Délais lettre de rejet</c:v>
                </c:pt>
                <c:pt idx="43">
                  <c:v>DP organismes</c:v>
                </c:pt>
                <c:pt idx="44">
                  <c:v>TRAVAUX</c:v>
                </c:pt>
                <c:pt idx="45">
                  <c:v>OS Etudes &amp; Travaux</c:v>
                </c:pt>
                <c:pt idx="46">
                  <c:v>Etudes exe + installation chantier</c:v>
                </c:pt>
                <c:pt idx="47">
                  <c:v>Reunion de lancement</c:v>
                </c:pt>
                <c:pt idx="48">
                  <c:v>KickOff Sécurité</c:v>
                </c:pt>
                <c:pt idx="49">
                  <c:v>Travaux préalables</c:v>
                </c:pt>
                <c:pt idx="50">
                  <c:v>Travaux préparatoires</c:v>
                </c:pt>
                <c:pt idx="51">
                  <c:v>Travaux pincipaux</c:v>
                </c:pt>
                <c:pt idx="52">
                  <c:v>Week-end CP 1</c:v>
                </c:pt>
                <c:pt idx="53">
                  <c:v>Week-end CP 2</c:v>
                </c:pt>
                <c:pt idx="54">
                  <c:v>Week-end CP 3</c:v>
                </c:pt>
                <c:pt idx="55">
                  <c:v>Travaux de Finitions</c:v>
                </c:pt>
                <c:pt idx="56">
                  <c:v>Envoi des retour chantier Schéma Signalo</c:v>
                </c:pt>
                <c:pt idx="57">
                  <c:v>MES</c:v>
                </c:pt>
                <c:pt idx="58">
                  <c:v>Quitus/FAI</c:v>
                </c:pt>
                <c:pt idx="59">
                  <c:v>Situation Actuelle</c:v>
                </c:pt>
              </c:strCache>
            </c:strRef>
          </c:cat>
          <c:val>
            <c:numRef>
              <c:f>'PLANNING - DI-AVP-PRO-REA'!$C$9:$C$68</c:f>
              <c:numCache>
                <c:formatCode>0.0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150</c:v>
                </c:pt>
                <c:pt idx="35">
                  <c:v>81</c:v>
                </c:pt>
                <c:pt idx="36">
                  <c:v>15</c:v>
                </c:pt>
                <c:pt idx="37">
                  <c:v>15</c:v>
                </c:pt>
                <c:pt idx="38">
                  <c:v>94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10.95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81"/>
        <c:axId val="70011136"/>
        <c:axId val="70025216"/>
      </c:barChart>
      <c:catAx>
        <c:axId val="70011136"/>
        <c:scaling>
          <c:orientation val="maxMin"/>
        </c:scaling>
        <c:delete val="1"/>
        <c:axPos val="l"/>
        <c:majorGridlines>
          <c:spPr>
            <a:ln w="19050">
              <a:prstDash val="sysDot"/>
            </a:ln>
          </c:spPr>
        </c:majorGridlines>
        <c:majorTickMark val="out"/>
        <c:minorTickMark val="none"/>
        <c:tickLblPos val="nextTo"/>
        <c:crossAx val="70025216"/>
        <c:crosses val="autoZero"/>
        <c:auto val="1"/>
        <c:lblAlgn val="ctr"/>
        <c:lblOffset val="100"/>
        <c:noMultiLvlLbl val="0"/>
      </c:catAx>
      <c:valAx>
        <c:axId val="70025216"/>
        <c:scaling>
          <c:orientation val="minMax"/>
          <c:min val="43113"/>
        </c:scaling>
        <c:delete val="0"/>
        <c:axPos val="t"/>
        <c:majorGridlines/>
        <c:numFmt formatCode="m/d/yyyy" sourceLinked="0"/>
        <c:majorTickMark val="out"/>
        <c:minorTickMark val="none"/>
        <c:tickLblPos val="nextTo"/>
        <c:spPr>
          <a:noFill/>
        </c:spPr>
        <c:txPr>
          <a:bodyPr rot="1800000" vert="horz" anchor="ctr" anchorCtr="0"/>
          <a:lstStyle/>
          <a:p>
            <a:pPr>
              <a:defRPr/>
            </a:pPr>
            <a:endParaRPr lang="fr-FR"/>
          </a:p>
        </c:txPr>
        <c:crossAx val="70011136"/>
        <c:crosses val="autoZero"/>
        <c:crossBetween val="between"/>
        <c:majorUnit val="12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'RETRO PLANNING - DI-APO-REA '!$B$7</c:f>
              <c:strCache>
                <c:ptCount val="1"/>
                <c:pt idx="0">
                  <c:v>Début 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'RETRO PLANNING - DI-APO-REA '!$A$8:$A$60</c:f>
              <c:strCache>
                <c:ptCount val="53"/>
                <c:pt idx="0">
                  <c:v>DI</c:v>
                </c:pt>
                <c:pt idx="1">
                  <c:v>Réunion de lancement</c:v>
                </c:pt>
                <c:pt idx="2">
                  <c:v>Etudes </c:v>
                </c:pt>
                <c:pt idx="3">
                  <c:v>Date envoi DI + délais traitement DPU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APO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</c:v>
                </c:pt>
                <c:pt idx="21">
                  <c:v>Date envoi AVP + délais traitement DPU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REA</c:v>
                </c:pt>
                <c:pt idx="25">
                  <c:v>Réunion de lancement</c:v>
                </c:pt>
                <c:pt idx="26">
                  <c:v>MARCHE</c:v>
                </c:pt>
                <c:pt idx="27">
                  <c:v>Rédaction DCE</c:v>
                </c:pt>
                <c:pt idx="28">
                  <c:v>Stratégie marché/envoi DCE</c:v>
                </c:pt>
                <c:pt idx="29">
                  <c:v>Passage CEMA</c:v>
                </c:pt>
                <c:pt idx="30">
                  <c:v>Avis PRA</c:v>
                </c:pt>
                <c:pt idx="31">
                  <c:v>Consultation/Négociation</c:v>
                </c:pt>
                <c:pt idx="32">
                  <c:v>Passage CEMA + Attribution</c:v>
                </c:pt>
                <c:pt idx="33">
                  <c:v>Avis PRA</c:v>
                </c:pt>
                <c:pt idx="34">
                  <c:v>Notification</c:v>
                </c:pt>
                <c:pt idx="35">
                  <c:v>Délais lettre de rejet</c:v>
                </c:pt>
                <c:pt idx="36">
                  <c:v>DP organismes</c:v>
                </c:pt>
                <c:pt idx="37">
                  <c:v>TRAVAUX</c:v>
                </c:pt>
                <c:pt idx="38">
                  <c:v>OS Etudes &amp; Travaux</c:v>
                </c:pt>
                <c:pt idx="39">
                  <c:v>Etudes exe + installation de chantier</c:v>
                </c:pt>
                <c:pt idx="40">
                  <c:v>Réunion de lancement</c:v>
                </c:pt>
                <c:pt idx="41">
                  <c:v>KickOff Sécurité</c:v>
                </c:pt>
                <c:pt idx="42">
                  <c:v>Travaux préalables</c:v>
                </c:pt>
                <c:pt idx="43">
                  <c:v>Travaux préparatoires</c:v>
                </c:pt>
                <c:pt idx="44">
                  <c:v>Travaux principaux</c:v>
                </c:pt>
                <c:pt idx="45">
                  <c:v>Week-end CP 1</c:v>
                </c:pt>
                <c:pt idx="46">
                  <c:v>Week-end CP 2</c:v>
                </c:pt>
                <c:pt idx="47">
                  <c:v>Week-end CP 3</c:v>
                </c:pt>
                <c:pt idx="48">
                  <c:v>Travaux de Finitions</c:v>
                </c:pt>
                <c:pt idx="49">
                  <c:v>Envoi des retour chantier Schéma Signalo</c:v>
                </c:pt>
                <c:pt idx="50">
                  <c:v>MES</c:v>
                </c:pt>
                <c:pt idx="51">
                  <c:v>Quitus/FAI</c:v>
                </c:pt>
                <c:pt idx="52">
                  <c:v>Situation Actuelle</c:v>
                </c:pt>
              </c:strCache>
            </c:strRef>
          </c:cat>
          <c:val>
            <c:numRef>
              <c:f>'RETRO PLANNING - DI-APO-REA '!$B$8:$B$60</c:f>
              <c:numCache>
                <c:formatCode>dd/mm/yy;@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43480</c:v>
                </c:pt>
              </c:numCache>
            </c:numRef>
          </c:val>
        </c:ser>
        <c:ser>
          <c:idx val="0"/>
          <c:order val="1"/>
          <c:tx>
            <c:strRef>
              <c:f>'RETRO PLANNING - DI-APO-REA '!$C$7</c:f>
              <c:strCache>
                <c:ptCount val="1"/>
                <c:pt idx="0">
                  <c:v>Durée (en jours)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34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37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48"/>
            <c:invertIfNegative val="0"/>
            <c:bubble3D val="0"/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2"/>
              <c:spPr>
                <a:noFill/>
              </c:spPr>
              <c:txPr>
                <a:bodyPr/>
                <a:lstStyle/>
                <a:p>
                  <a:pPr>
                    <a:defRPr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6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7"/>
              <c:spPr>
                <a:noFill/>
              </c:spPr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Pos val="inBase"/>
            <c:showLegendKey val="0"/>
            <c:showVal val="0"/>
            <c:showCatName val="1"/>
            <c:showSerName val="0"/>
            <c:showPercent val="0"/>
            <c:showBubbleSize val="0"/>
            <c:separator> </c:separator>
            <c:showLeaderLines val="0"/>
          </c:dLbls>
          <c:cat>
            <c:strRef>
              <c:f>'RETRO PLANNING - DI-APO-REA '!$A$8:$A$60</c:f>
              <c:strCache>
                <c:ptCount val="53"/>
                <c:pt idx="0">
                  <c:v>DI</c:v>
                </c:pt>
                <c:pt idx="1">
                  <c:v>Réunion de lancement</c:v>
                </c:pt>
                <c:pt idx="2">
                  <c:v>Etudes </c:v>
                </c:pt>
                <c:pt idx="3">
                  <c:v>Date envoi DI + délais traitement DPU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APO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</c:v>
                </c:pt>
                <c:pt idx="21">
                  <c:v>Date envoi AVP + délais traitement DPU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REA</c:v>
                </c:pt>
                <c:pt idx="25">
                  <c:v>Réunion de lancement</c:v>
                </c:pt>
                <c:pt idx="26">
                  <c:v>MARCHE</c:v>
                </c:pt>
                <c:pt idx="27">
                  <c:v>Rédaction DCE</c:v>
                </c:pt>
                <c:pt idx="28">
                  <c:v>Stratégie marché/envoi DCE</c:v>
                </c:pt>
                <c:pt idx="29">
                  <c:v>Passage CEMA</c:v>
                </c:pt>
                <c:pt idx="30">
                  <c:v>Avis PRA</c:v>
                </c:pt>
                <c:pt idx="31">
                  <c:v>Consultation/Négociation</c:v>
                </c:pt>
                <c:pt idx="32">
                  <c:v>Passage CEMA + Attribution</c:v>
                </c:pt>
                <c:pt idx="33">
                  <c:v>Avis PRA</c:v>
                </c:pt>
                <c:pt idx="34">
                  <c:v>Notification</c:v>
                </c:pt>
                <c:pt idx="35">
                  <c:v>Délais lettre de rejet</c:v>
                </c:pt>
                <c:pt idx="36">
                  <c:v>DP organismes</c:v>
                </c:pt>
                <c:pt idx="37">
                  <c:v>TRAVAUX</c:v>
                </c:pt>
                <c:pt idx="38">
                  <c:v>OS Etudes &amp; Travaux</c:v>
                </c:pt>
                <c:pt idx="39">
                  <c:v>Etudes exe + installation de chantier</c:v>
                </c:pt>
                <c:pt idx="40">
                  <c:v>Réunion de lancement</c:v>
                </c:pt>
                <c:pt idx="41">
                  <c:v>KickOff Sécurité</c:v>
                </c:pt>
                <c:pt idx="42">
                  <c:v>Travaux préalables</c:v>
                </c:pt>
                <c:pt idx="43">
                  <c:v>Travaux préparatoires</c:v>
                </c:pt>
                <c:pt idx="44">
                  <c:v>Travaux principaux</c:v>
                </c:pt>
                <c:pt idx="45">
                  <c:v>Week-end CP 1</c:v>
                </c:pt>
                <c:pt idx="46">
                  <c:v>Week-end CP 2</c:v>
                </c:pt>
                <c:pt idx="47">
                  <c:v>Week-end CP 3</c:v>
                </c:pt>
                <c:pt idx="48">
                  <c:v>Travaux de Finitions</c:v>
                </c:pt>
                <c:pt idx="49">
                  <c:v>Envoi des retour chantier Schéma Signalo</c:v>
                </c:pt>
                <c:pt idx="50">
                  <c:v>MES</c:v>
                </c:pt>
                <c:pt idx="51">
                  <c:v>Quitus/FAI</c:v>
                </c:pt>
                <c:pt idx="52">
                  <c:v>Situation Actuelle</c:v>
                </c:pt>
              </c:strCache>
            </c:strRef>
          </c:cat>
          <c:val>
            <c:numRef>
              <c:f>'RETRO PLANNING - DI-APO-REA '!$C$8:$C$60</c:f>
              <c:numCache>
                <c:formatCode>0.0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150</c:v>
                </c:pt>
                <c:pt idx="28">
                  <c:v>81</c:v>
                </c:pt>
                <c:pt idx="29">
                  <c:v>15</c:v>
                </c:pt>
                <c:pt idx="30">
                  <c:v>15</c:v>
                </c:pt>
                <c:pt idx="31">
                  <c:v>94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10.95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83"/>
        <c:axId val="70173824"/>
        <c:axId val="70175360"/>
      </c:barChart>
      <c:catAx>
        <c:axId val="70173824"/>
        <c:scaling>
          <c:orientation val="maxMin"/>
        </c:scaling>
        <c:delete val="1"/>
        <c:axPos val="l"/>
        <c:majorGridlines>
          <c:spPr>
            <a:ln w="19050" cmpd="sng">
              <a:prstDash val="sysDot"/>
              <a:headEnd type="none"/>
            </a:ln>
          </c:spPr>
        </c:majorGridlines>
        <c:majorTickMark val="out"/>
        <c:minorTickMark val="none"/>
        <c:tickLblPos val="nextTo"/>
        <c:crossAx val="70175360"/>
        <c:crosses val="autoZero"/>
        <c:auto val="1"/>
        <c:lblAlgn val="ctr"/>
        <c:lblOffset val="100"/>
        <c:noMultiLvlLbl val="0"/>
      </c:catAx>
      <c:valAx>
        <c:axId val="70175360"/>
        <c:scaling>
          <c:orientation val="minMax"/>
          <c:min val="43113"/>
        </c:scaling>
        <c:delete val="0"/>
        <c:axPos val="t"/>
        <c:majorGridlines/>
        <c:numFmt formatCode="m/d/yyyy" sourceLinked="0"/>
        <c:majorTickMark val="out"/>
        <c:minorTickMark val="none"/>
        <c:tickLblPos val="nextTo"/>
        <c:txPr>
          <a:bodyPr rot="1500000" anchor="ctr" anchorCtr="0"/>
          <a:lstStyle/>
          <a:p>
            <a:pPr>
              <a:defRPr/>
            </a:pPr>
            <a:endParaRPr lang="fr-FR"/>
          </a:p>
        </c:txPr>
        <c:crossAx val="70173824"/>
        <c:crosses val="autoZero"/>
        <c:crossBetween val="between"/>
        <c:majorUnit val="120"/>
      </c:valAx>
      <c:spPr>
        <a:ln w="9525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'PLANNING - DI-APO-REA '!$B$7</c:f>
              <c:strCache>
                <c:ptCount val="1"/>
                <c:pt idx="0">
                  <c:v>Début 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'PLANNING - DI-APO-REA '!$A$9:$A$61</c:f>
              <c:strCache>
                <c:ptCount val="53"/>
                <c:pt idx="0">
                  <c:v>DI</c:v>
                </c:pt>
                <c:pt idx="1">
                  <c:v>Réunion de lancement</c:v>
                </c:pt>
                <c:pt idx="2">
                  <c:v>Etudes </c:v>
                </c:pt>
                <c:pt idx="3">
                  <c:v>Date envoi DI + délais traitement DPU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APO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</c:v>
                </c:pt>
                <c:pt idx="21">
                  <c:v>Date envoi AVP + délais traitement DPU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REA</c:v>
                </c:pt>
                <c:pt idx="25">
                  <c:v>Réunion de lancement</c:v>
                </c:pt>
                <c:pt idx="26">
                  <c:v>MARCHE</c:v>
                </c:pt>
                <c:pt idx="27">
                  <c:v>Rédaction DCE</c:v>
                </c:pt>
                <c:pt idx="28">
                  <c:v>Stratégie marché/envoi DCE</c:v>
                </c:pt>
                <c:pt idx="29">
                  <c:v>Passage CEMA</c:v>
                </c:pt>
                <c:pt idx="30">
                  <c:v>Avis PRA</c:v>
                </c:pt>
                <c:pt idx="31">
                  <c:v>Consultation/Négociation</c:v>
                </c:pt>
                <c:pt idx="32">
                  <c:v>Passage CEMA + Attribution</c:v>
                </c:pt>
                <c:pt idx="33">
                  <c:v>Avis PRA</c:v>
                </c:pt>
                <c:pt idx="34">
                  <c:v>Notification</c:v>
                </c:pt>
                <c:pt idx="35">
                  <c:v>Délais lettre de rejet</c:v>
                </c:pt>
                <c:pt idx="36">
                  <c:v>DP organismes</c:v>
                </c:pt>
                <c:pt idx="37">
                  <c:v>TRAVAUX</c:v>
                </c:pt>
                <c:pt idx="38">
                  <c:v>OS Etudes &amp; Travaux</c:v>
                </c:pt>
                <c:pt idx="39">
                  <c:v>Etudes exe + installation de chantier</c:v>
                </c:pt>
                <c:pt idx="40">
                  <c:v>Réunion de lancement</c:v>
                </c:pt>
                <c:pt idx="41">
                  <c:v>KickOff Sécurité</c:v>
                </c:pt>
                <c:pt idx="42">
                  <c:v>Travaux préalables</c:v>
                </c:pt>
                <c:pt idx="43">
                  <c:v>Travaux préparatoires</c:v>
                </c:pt>
                <c:pt idx="44">
                  <c:v>Travaux principaux</c:v>
                </c:pt>
                <c:pt idx="45">
                  <c:v>Week-end CP 1</c:v>
                </c:pt>
                <c:pt idx="46">
                  <c:v>Week-end CP 2</c:v>
                </c:pt>
                <c:pt idx="47">
                  <c:v>Week-end CP 3</c:v>
                </c:pt>
                <c:pt idx="48">
                  <c:v>Travaux de Finitions</c:v>
                </c:pt>
                <c:pt idx="49">
                  <c:v>Envoi des retour chantier Schéma Signalo</c:v>
                </c:pt>
                <c:pt idx="50">
                  <c:v>MES</c:v>
                </c:pt>
                <c:pt idx="51">
                  <c:v>Quitus/FAI</c:v>
                </c:pt>
                <c:pt idx="52">
                  <c:v>Situation Actuelle</c:v>
                </c:pt>
              </c:strCache>
            </c:strRef>
          </c:cat>
          <c:val>
            <c:numRef>
              <c:f>'PLANNING - DI-APO-REA '!$B$9:$B$61</c:f>
              <c:numCache>
                <c:formatCode>dd/mm/yy;@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43480</c:v>
                </c:pt>
              </c:numCache>
            </c:numRef>
          </c:val>
        </c:ser>
        <c:ser>
          <c:idx val="0"/>
          <c:order val="1"/>
          <c:tx>
            <c:strRef>
              <c:f>'PLANNING - DI-APO-REA '!$C$7</c:f>
              <c:strCache>
                <c:ptCount val="1"/>
                <c:pt idx="0">
                  <c:v>Durée (en jours)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17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2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24"/>
            <c:invertIfNegative val="0"/>
            <c:bubble3D val="0"/>
            <c:spPr>
              <a:solidFill>
                <a:schemeClr val="accent1"/>
              </a:solidFill>
            </c:spPr>
          </c:dPt>
          <c:dPt>
            <c:idx val="34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</c:spPr>
          </c:dPt>
          <c:dPt>
            <c:idx val="37"/>
            <c:invertIfNegative val="0"/>
            <c:bubble3D val="0"/>
            <c:spPr>
              <a:solidFill>
                <a:schemeClr val="accent6"/>
              </a:solidFill>
            </c:spPr>
          </c:dPt>
          <c:dPt>
            <c:idx val="48"/>
            <c:invertIfNegative val="0"/>
            <c:bubble3D val="0"/>
          </c:dPt>
          <c:dLbls>
            <c:dLbl>
              <c:idx val="0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2"/>
              <c:spPr>
                <a:noFill/>
              </c:spPr>
              <c:txPr>
                <a:bodyPr/>
                <a:lstStyle/>
                <a:p>
                  <a:pPr>
                    <a:defRPr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4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6"/>
              <c:spPr/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7"/>
              <c:spPr>
                <a:noFill/>
              </c:spPr>
              <c:txPr>
                <a:bodyPr/>
                <a:lstStyle/>
                <a:p>
                  <a:pPr>
                    <a:defRPr b="1"/>
                  </a:pPr>
                  <a:endParaRPr lang="fr-FR"/>
                </a:p>
              </c:txPr>
              <c:dLblPos val="inBase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Pos val="inBase"/>
            <c:showLegendKey val="0"/>
            <c:showVal val="0"/>
            <c:showCatName val="1"/>
            <c:showSerName val="0"/>
            <c:showPercent val="0"/>
            <c:showBubbleSize val="0"/>
            <c:separator> </c:separator>
            <c:showLeaderLines val="0"/>
          </c:dLbls>
          <c:cat>
            <c:strRef>
              <c:f>'PLANNING - DI-APO-REA '!$A$9:$A$61</c:f>
              <c:strCache>
                <c:ptCount val="53"/>
                <c:pt idx="0">
                  <c:v>DI</c:v>
                </c:pt>
                <c:pt idx="1">
                  <c:v>Réunion de lancement</c:v>
                </c:pt>
                <c:pt idx="2">
                  <c:v>Etudes </c:v>
                </c:pt>
                <c:pt idx="3">
                  <c:v>Date envoi DI + délais traitement DPU</c:v>
                </c:pt>
                <c:pt idx="4">
                  <c:v>Date retour M&amp;T IDF</c:v>
                </c:pt>
                <c:pt idx="5">
                  <c:v>Passage CFIE/CNIE/Comités</c:v>
                </c:pt>
                <c:pt idx="6">
                  <c:v>ACQD (topo/DT Etudes)</c:v>
                </c:pt>
                <c:pt idx="7">
                  <c:v>PROCEDURES</c:v>
                </c:pt>
                <c:pt idx="8">
                  <c:v>Analyse Risque</c:v>
                </c:pt>
                <c:pt idx="9">
                  <c:v>Procédures Environementales</c:v>
                </c:pt>
                <c:pt idx="10">
                  <c:v>Diag Sécurité Sureté et procédures admin</c:v>
                </c:pt>
                <c:pt idx="11">
                  <c:v>Procédures administratives</c:v>
                </c:pt>
                <c:pt idx="12">
                  <c:v>Faire les DT REA</c:v>
                </c:pt>
                <c:pt idx="13">
                  <c:v>RP</c:v>
                </c:pt>
                <c:pt idx="14">
                  <c:v>RP0 Logistique</c:v>
                </c:pt>
                <c:pt idx="15">
                  <c:v>RP1 Logistique</c:v>
                </c:pt>
                <c:pt idx="16">
                  <c:v>RP3</c:v>
                </c:pt>
                <c:pt idx="17">
                  <c:v>APO</c:v>
                </c:pt>
                <c:pt idx="18">
                  <c:v>Investigations</c:v>
                </c:pt>
                <c:pt idx="19">
                  <c:v>Reunion de lancement &amp; analyse de risque</c:v>
                </c:pt>
                <c:pt idx="20">
                  <c:v>Etudes + Investigation</c:v>
                </c:pt>
                <c:pt idx="21">
                  <c:v>Date envoi AVP + délais traitement DPU</c:v>
                </c:pt>
                <c:pt idx="22">
                  <c:v>Date retour M&amp;T IDF</c:v>
                </c:pt>
                <c:pt idx="23">
                  <c:v>Passage CFIE/CNIE/Comités</c:v>
                </c:pt>
                <c:pt idx="24">
                  <c:v>REA</c:v>
                </c:pt>
                <c:pt idx="25">
                  <c:v>Réunion de lancement</c:v>
                </c:pt>
                <c:pt idx="26">
                  <c:v>MARCHE</c:v>
                </c:pt>
                <c:pt idx="27">
                  <c:v>Rédaction DCE</c:v>
                </c:pt>
                <c:pt idx="28">
                  <c:v>Stratégie marché/envoi DCE</c:v>
                </c:pt>
                <c:pt idx="29">
                  <c:v>Passage CEMA</c:v>
                </c:pt>
                <c:pt idx="30">
                  <c:v>Avis PRA</c:v>
                </c:pt>
                <c:pt idx="31">
                  <c:v>Consultation/Négociation</c:v>
                </c:pt>
                <c:pt idx="32">
                  <c:v>Passage CEMA + Attribution</c:v>
                </c:pt>
                <c:pt idx="33">
                  <c:v>Avis PRA</c:v>
                </c:pt>
                <c:pt idx="34">
                  <c:v>Notification</c:v>
                </c:pt>
                <c:pt idx="35">
                  <c:v>Délais lettre de rejet</c:v>
                </c:pt>
                <c:pt idx="36">
                  <c:v>DP organismes</c:v>
                </c:pt>
                <c:pt idx="37">
                  <c:v>TRAVAUX</c:v>
                </c:pt>
                <c:pt idx="38">
                  <c:v>OS Etudes &amp; Travaux</c:v>
                </c:pt>
                <c:pt idx="39">
                  <c:v>Etudes exe + installation de chantier</c:v>
                </c:pt>
                <c:pt idx="40">
                  <c:v>Réunion de lancement</c:v>
                </c:pt>
                <c:pt idx="41">
                  <c:v>KickOff Sécurité</c:v>
                </c:pt>
                <c:pt idx="42">
                  <c:v>Travaux préalables</c:v>
                </c:pt>
                <c:pt idx="43">
                  <c:v>Travaux préparatoires</c:v>
                </c:pt>
                <c:pt idx="44">
                  <c:v>Travaux principaux</c:v>
                </c:pt>
                <c:pt idx="45">
                  <c:v>Week-end CP 1</c:v>
                </c:pt>
                <c:pt idx="46">
                  <c:v>Week-end CP 2</c:v>
                </c:pt>
                <c:pt idx="47">
                  <c:v>Week-end CP 3</c:v>
                </c:pt>
                <c:pt idx="48">
                  <c:v>Travaux de Finitions</c:v>
                </c:pt>
                <c:pt idx="49">
                  <c:v>Envoi des retour chantier Schéma Signalo</c:v>
                </c:pt>
                <c:pt idx="50">
                  <c:v>MES</c:v>
                </c:pt>
                <c:pt idx="51">
                  <c:v>Quitus/FAI</c:v>
                </c:pt>
                <c:pt idx="52">
                  <c:v>Situation Actuelle</c:v>
                </c:pt>
              </c:strCache>
            </c:strRef>
          </c:cat>
          <c:val>
            <c:numRef>
              <c:f>'PLANNING - DI-APO-REA '!$C$9:$C$61</c:f>
              <c:numCache>
                <c:formatCode>0.0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81</c:v>
                </c:pt>
                <c:pt idx="29">
                  <c:v>15</c:v>
                </c:pt>
                <c:pt idx="30">
                  <c:v>15</c:v>
                </c:pt>
                <c:pt idx="31">
                  <c:v>94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10.95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83"/>
        <c:axId val="70662784"/>
        <c:axId val="70685056"/>
      </c:barChart>
      <c:catAx>
        <c:axId val="70662784"/>
        <c:scaling>
          <c:orientation val="maxMin"/>
        </c:scaling>
        <c:delete val="1"/>
        <c:axPos val="l"/>
        <c:majorGridlines>
          <c:spPr>
            <a:ln w="19050" cmpd="sng">
              <a:prstDash val="sysDot"/>
              <a:headEnd type="none"/>
            </a:ln>
          </c:spPr>
        </c:majorGridlines>
        <c:majorTickMark val="out"/>
        <c:minorTickMark val="none"/>
        <c:tickLblPos val="nextTo"/>
        <c:crossAx val="70685056"/>
        <c:crosses val="autoZero"/>
        <c:auto val="1"/>
        <c:lblAlgn val="ctr"/>
        <c:lblOffset val="100"/>
        <c:noMultiLvlLbl val="0"/>
      </c:catAx>
      <c:valAx>
        <c:axId val="70685056"/>
        <c:scaling>
          <c:orientation val="minMax"/>
          <c:min val="43113"/>
        </c:scaling>
        <c:delete val="0"/>
        <c:axPos val="t"/>
        <c:majorGridlines/>
        <c:numFmt formatCode="m/d/yyyy" sourceLinked="0"/>
        <c:majorTickMark val="out"/>
        <c:minorTickMark val="none"/>
        <c:tickLblPos val="nextTo"/>
        <c:txPr>
          <a:bodyPr rot="1500000" anchor="ctr" anchorCtr="0"/>
          <a:lstStyle/>
          <a:p>
            <a:pPr>
              <a:defRPr/>
            </a:pPr>
            <a:endParaRPr lang="fr-FR"/>
          </a:p>
        </c:txPr>
        <c:crossAx val="70662784"/>
        <c:crosses val="autoZero"/>
        <c:crossBetween val="between"/>
        <c:majorUnit val="120"/>
      </c:valAx>
      <c:spPr>
        <a:ln w="9525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12" Type="http://schemas.openxmlformats.org/officeDocument/2006/relationships/image" Target="../media/image16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11" Type="http://schemas.openxmlformats.org/officeDocument/2006/relationships/image" Target="../media/image17.emf"/><Relationship Id="rId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</xdr:row>
      <xdr:rowOff>133350</xdr:rowOff>
    </xdr:from>
    <xdr:to>
      <xdr:col>11</xdr:col>
      <xdr:colOff>619125</xdr:colOff>
      <xdr:row>3</xdr:row>
      <xdr:rowOff>133350</xdr:rowOff>
    </xdr:to>
    <xdr:cxnSp macro="">
      <xdr:nvCxnSpPr>
        <xdr:cNvPr id="3" name="Connecteur droit 2"/>
        <xdr:cNvCxnSpPr/>
      </xdr:nvCxnSpPr>
      <xdr:spPr>
        <a:xfrm>
          <a:off x="923925" y="857250"/>
          <a:ext cx="8077200" cy="0"/>
        </a:xfrm>
        <a:prstGeom prst="line">
          <a:avLst/>
        </a:prstGeom>
        <a:ln w="28575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609600</xdr:colOff>
      <xdr:row>8</xdr:row>
      <xdr:rowOff>66675</xdr:rowOff>
    </xdr:from>
    <xdr:to>
      <xdr:col>2</xdr:col>
      <xdr:colOff>123825</xdr:colOff>
      <xdr:row>8</xdr:row>
      <xdr:rowOff>190500</xdr:rowOff>
    </xdr:to>
    <xdr:sp macro="" textlink="">
      <xdr:nvSpPr>
        <xdr:cNvPr id="4" name="Flèche droite 3"/>
        <xdr:cNvSpPr/>
      </xdr:nvSpPr>
      <xdr:spPr>
        <a:xfrm>
          <a:off x="1371600" y="1790700"/>
          <a:ext cx="276225" cy="123825"/>
        </a:xfrm>
        <a:prstGeom prst="rightArrow">
          <a:avLst/>
        </a:prstGeom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609600</xdr:colOff>
      <xdr:row>10</xdr:row>
      <xdr:rowOff>57150</xdr:rowOff>
    </xdr:from>
    <xdr:to>
      <xdr:col>2</xdr:col>
      <xdr:colOff>123825</xdr:colOff>
      <xdr:row>10</xdr:row>
      <xdr:rowOff>180975</xdr:rowOff>
    </xdr:to>
    <xdr:sp macro="" textlink="">
      <xdr:nvSpPr>
        <xdr:cNvPr id="5" name="Flèche droite 4"/>
        <xdr:cNvSpPr/>
      </xdr:nvSpPr>
      <xdr:spPr>
        <a:xfrm>
          <a:off x="1371600" y="2409825"/>
          <a:ext cx="276225" cy="123825"/>
        </a:xfrm>
        <a:prstGeom prst="rightArrow">
          <a:avLst/>
        </a:prstGeom>
        <a:ln w="12700"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21</xdr:row>
          <xdr:rowOff>85725</xdr:rowOff>
        </xdr:from>
        <xdr:to>
          <xdr:col>5</xdr:col>
          <xdr:colOff>104775</xdr:colOff>
          <xdr:row>24</xdr:row>
          <xdr:rowOff>85725</xdr:rowOff>
        </xdr:to>
        <xdr:sp macro="" textlink="">
          <xdr:nvSpPr>
            <xdr:cNvPr id="6149" name="CommandButton1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21</xdr:row>
          <xdr:rowOff>85725</xdr:rowOff>
        </xdr:from>
        <xdr:to>
          <xdr:col>9</xdr:col>
          <xdr:colOff>381000</xdr:colOff>
          <xdr:row>24</xdr:row>
          <xdr:rowOff>85725</xdr:rowOff>
        </xdr:to>
        <xdr:sp macro="" textlink="">
          <xdr:nvSpPr>
            <xdr:cNvPr id="6150" name="CommandButton2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4</xdr:col>
      <xdr:colOff>676275</xdr:colOff>
      <xdr:row>27</xdr:row>
      <xdr:rowOff>95250</xdr:rowOff>
    </xdr:from>
    <xdr:to>
      <xdr:col>7</xdr:col>
      <xdr:colOff>287293</xdr:colOff>
      <xdr:row>34</xdr:row>
      <xdr:rowOff>78728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275" y="5848350"/>
          <a:ext cx="1897018" cy="13169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25</xdr:row>
          <xdr:rowOff>180975</xdr:rowOff>
        </xdr:from>
        <xdr:to>
          <xdr:col>1</xdr:col>
          <xdr:colOff>2657475</xdr:colOff>
          <xdr:row>29</xdr:row>
          <xdr:rowOff>57150</xdr:rowOff>
        </xdr:to>
        <xdr:sp macro="" textlink="">
          <xdr:nvSpPr>
            <xdr:cNvPr id="3073" name="CommandButton2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3238500</xdr:colOff>
          <xdr:row>25</xdr:row>
          <xdr:rowOff>171450</xdr:rowOff>
        </xdr:from>
        <xdr:to>
          <xdr:col>1</xdr:col>
          <xdr:colOff>4381500</xdr:colOff>
          <xdr:row>29</xdr:row>
          <xdr:rowOff>47625</xdr:rowOff>
        </xdr:to>
        <xdr:sp macro="" textlink="">
          <xdr:nvSpPr>
            <xdr:cNvPr id="3074" name="CommandButton2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17</xdr:row>
          <xdr:rowOff>119063</xdr:rowOff>
        </xdr:from>
        <xdr:to>
          <xdr:col>1</xdr:col>
          <xdr:colOff>2752725</xdr:colOff>
          <xdr:row>17</xdr:row>
          <xdr:rowOff>261938</xdr:rowOff>
        </xdr:to>
        <xdr:grpSp>
          <xdr:nvGrpSpPr>
            <xdr:cNvPr id="5" name="Groupe 4"/>
            <xdr:cNvGrpSpPr/>
          </xdr:nvGrpSpPr>
          <xdr:grpSpPr>
            <a:xfrm>
              <a:off x="4429125" y="4929188"/>
              <a:ext cx="2038350" cy="142875"/>
              <a:chOff x="11610975" y="4776788"/>
              <a:chExt cx="2038350" cy="142875"/>
            </a:xfrm>
          </xdr:grpSpPr>
          <xdr:sp macro="" textlink="">
            <xdr:nvSpPr>
              <xdr:cNvPr id="3077" name="OptionButton1" hidden="1">
                <a:extLst>
                  <a:ext uri="{63B3BB69-23CF-44E3-9099-C40C66FF867C}">
                    <a14:compatExt spid="_x0000_s3077"/>
                  </a:ext>
                </a:extLst>
              </xdr:cNvPr>
              <xdr:cNvSpPr/>
            </xdr:nvSpPr>
            <xdr:spPr>
              <a:xfrm>
                <a:off x="11610975" y="4776788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78" name="OptionButton2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>
              <a:xfrm>
                <a:off x="13525500" y="4776788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18</xdr:row>
          <xdr:rowOff>123825</xdr:rowOff>
        </xdr:from>
        <xdr:to>
          <xdr:col>1</xdr:col>
          <xdr:colOff>2762250</xdr:colOff>
          <xdr:row>18</xdr:row>
          <xdr:rowOff>266700</xdr:rowOff>
        </xdr:to>
        <xdr:grpSp>
          <xdr:nvGrpSpPr>
            <xdr:cNvPr id="6" name="Groupe 5"/>
            <xdr:cNvGrpSpPr/>
          </xdr:nvGrpSpPr>
          <xdr:grpSpPr>
            <a:xfrm>
              <a:off x="4429125" y="5248275"/>
              <a:ext cx="2047875" cy="142875"/>
              <a:chOff x="11553825" y="5095875"/>
              <a:chExt cx="2047875" cy="142875"/>
            </a:xfrm>
          </xdr:grpSpPr>
          <xdr:sp macro="" textlink="">
            <xdr:nvSpPr>
              <xdr:cNvPr id="3079" name="OptionButton3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>
              <a:xfrm>
                <a:off x="11553825" y="5095875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80" name="OptionButton4" hidden="1">
                <a:extLst>
                  <a:ext uri="{63B3BB69-23CF-44E3-9099-C40C66FF867C}">
                    <a14:compatExt spid="_x0000_s3080"/>
                  </a:ext>
                </a:extLst>
              </xdr:cNvPr>
              <xdr:cNvSpPr/>
            </xdr:nvSpPr>
            <xdr:spPr>
              <a:xfrm>
                <a:off x="13477875" y="5095875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19</xdr:row>
          <xdr:rowOff>123825</xdr:rowOff>
        </xdr:from>
        <xdr:to>
          <xdr:col>1</xdr:col>
          <xdr:colOff>3571875</xdr:colOff>
          <xdr:row>19</xdr:row>
          <xdr:rowOff>266700</xdr:rowOff>
        </xdr:to>
        <xdr:grpSp>
          <xdr:nvGrpSpPr>
            <xdr:cNvPr id="7" name="Groupe 6"/>
            <xdr:cNvGrpSpPr/>
          </xdr:nvGrpSpPr>
          <xdr:grpSpPr>
            <a:xfrm>
              <a:off x="4429125" y="5562600"/>
              <a:ext cx="2857500" cy="142875"/>
              <a:chOff x="11553825" y="5410200"/>
              <a:chExt cx="2857500" cy="142875"/>
            </a:xfrm>
          </xdr:grpSpPr>
          <xdr:sp macro="" textlink="">
            <xdr:nvSpPr>
              <xdr:cNvPr id="3081" name="OptionButton5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>
              <a:xfrm>
                <a:off x="11553825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82" name="OptionButton6" hidden="1">
                <a:extLst>
                  <a:ext uri="{63B3BB69-23CF-44E3-9099-C40C66FF867C}">
                    <a14:compatExt spid="_x0000_s3082"/>
                  </a:ext>
                </a:extLst>
              </xdr:cNvPr>
              <xdr:cNvSpPr/>
            </xdr:nvSpPr>
            <xdr:spPr>
              <a:xfrm>
                <a:off x="13487400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83" name="OptionButton7" hidden="1">
                <a:extLst>
                  <a:ext uri="{63B3BB69-23CF-44E3-9099-C40C66FF867C}">
                    <a14:compatExt spid="_x0000_s3083"/>
                  </a:ext>
                </a:extLst>
              </xdr:cNvPr>
              <xdr:cNvSpPr/>
            </xdr:nvSpPr>
            <xdr:spPr>
              <a:xfrm>
                <a:off x="14287500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84" name="OptionButton8" hidden="1">
                <a:extLst>
                  <a:ext uri="{63B3BB69-23CF-44E3-9099-C40C66FF867C}">
                    <a14:compatExt spid="_x0000_s3084"/>
                  </a:ext>
                </a:extLst>
              </xdr:cNvPr>
              <xdr:cNvSpPr/>
            </xdr:nvSpPr>
            <xdr:spPr>
              <a:xfrm>
                <a:off x="12677775" y="5410200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16</xdr:row>
          <xdr:rowOff>80963</xdr:rowOff>
        </xdr:from>
        <xdr:to>
          <xdr:col>1</xdr:col>
          <xdr:colOff>2743200</xdr:colOff>
          <xdr:row>16</xdr:row>
          <xdr:rowOff>223838</xdr:rowOff>
        </xdr:to>
        <xdr:grpSp>
          <xdr:nvGrpSpPr>
            <xdr:cNvPr id="4" name="Groupe 3"/>
            <xdr:cNvGrpSpPr/>
          </xdr:nvGrpSpPr>
          <xdr:grpSpPr>
            <a:xfrm>
              <a:off x="4429125" y="4576763"/>
              <a:ext cx="2028825" cy="142875"/>
              <a:chOff x="11591925" y="4424363"/>
              <a:chExt cx="2028825" cy="142875"/>
            </a:xfrm>
          </xdr:grpSpPr>
          <xdr:sp macro="" textlink="">
            <xdr:nvSpPr>
              <xdr:cNvPr id="3087" name="OptionButton11" hidden="1">
                <a:extLst>
                  <a:ext uri="{63B3BB69-23CF-44E3-9099-C40C66FF867C}">
                    <a14:compatExt spid="_x0000_s3087"/>
                  </a:ext>
                </a:extLst>
              </xdr:cNvPr>
              <xdr:cNvSpPr/>
            </xdr:nvSpPr>
            <xdr:spPr>
              <a:xfrm>
                <a:off x="11591925" y="4424363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3088" name="OptionButton12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>
              <a:xfrm>
                <a:off x="13496925" y="4424363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771526</xdr:colOff>
      <xdr:row>22</xdr:row>
      <xdr:rowOff>85725</xdr:rowOff>
    </xdr:from>
    <xdr:to>
      <xdr:col>0</xdr:col>
      <xdr:colOff>2668544</xdr:colOff>
      <xdr:row>28</xdr:row>
      <xdr:rowOff>21578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526" y="6257925"/>
          <a:ext cx="1897018" cy="1316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1428750</xdr:colOff>
          <xdr:row>25</xdr:row>
          <xdr:rowOff>180975</xdr:rowOff>
        </xdr:from>
        <xdr:to>
          <xdr:col>1</xdr:col>
          <xdr:colOff>2657475</xdr:colOff>
          <xdr:row>29</xdr:row>
          <xdr:rowOff>57150</xdr:rowOff>
        </xdr:to>
        <xdr:sp macro="" textlink="">
          <xdr:nvSpPr>
            <xdr:cNvPr id="7169" name="CommandButton2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3238500</xdr:colOff>
          <xdr:row>25</xdr:row>
          <xdr:rowOff>171450</xdr:rowOff>
        </xdr:from>
        <xdr:to>
          <xdr:col>1</xdr:col>
          <xdr:colOff>4381500</xdr:colOff>
          <xdr:row>29</xdr:row>
          <xdr:rowOff>47625</xdr:rowOff>
        </xdr:to>
        <xdr:sp macro="" textlink="">
          <xdr:nvSpPr>
            <xdr:cNvPr id="7170" name="CommandButton2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17</xdr:row>
          <xdr:rowOff>119063</xdr:rowOff>
        </xdr:from>
        <xdr:to>
          <xdr:col>1</xdr:col>
          <xdr:colOff>2752725</xdr:colOff>
          <xdr:row>17</xdr:row>
          <xdr:rowOff>261938</xdr:rowOff>
        </xdr:to>
        <xdr:grpSp>
          <xdr:nvGrpSpPr>
            <xdr:cNvPr id="4" name="Groupe 3"/>
            <xdr:cNvGrpSpPr/>
          </xdr:nvGrpSpPr>
          <xdr:grpSpPr>
            <a:xfrm>
              <a:off x="4524375" y="4929188"/>
              <a:ext cx="2038350" cy="142875"/>
              <a:chOff x="11610975" y="4776788"/>
              <a:chExt cx="2038350" cy="142875"/>
            </a:xfrm>
          </xdr:grpSpPr>
          <xdr:sp macro="" textlink="">
            <xdr:nvSpPr>
              <xdr:cNvPr id="7171" name="OptionButton1" hidden="1">
                <a:extLst>
                  <a:ext uri="{63B3BB69-23CF-44E3-9099-C40C66FF867C}">
                    <a14:compatExt spid="_x0000_s7171"/>
                  </a:ext>
                </a:extLst>
              </xdr:cNvPr>
              <xdr:cNvSpPr/>
            </xdr:nvSpPr>
            <xdr:spPr>
              <a:xfrm>
                <a:off x="11610975" y="4776788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72" name="OptionButton2" hidden="1">
                <a:extLst>
                  <a:ext uri="{63B3BB69-23CF-44E3-9099-C40C66FF867C}">
                    <a14:compatExt spid="_x0000_s7172"/>
                  </a:ext>
                </a:extLst>
              </xdr:cNvPr>
              <xdr:cNvSpPr/>
            </xdr:nvSpPr>
            <xdr:spPr>
              <a:xfrm>
                <a:off x="13525500" y="4776788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18</xdr:row>
          <xdr:rowOff>123825</xdr:rowOff>
        </xdr:from>
        <xdr:to>
          <xdr:col>1</xdr:col>
          <xdr:colOff>2762250</xdr:colOff>
          <xdr:row>18</xdr:row>
          <xdr:rowOff>266700</xdr:rowOff>
        </xdr:to>
        <xdr:grpSp>
          <xdr:nvGrpSpPr>
            <xdr:cNvPr id="7" name="Groupe 6"/>
            <xdr:cNvGrpSpPr/>
          </xdr:nvGrpSpPr>
          <xdr:grpSpPr>
            <a:xfrm>
              <a:off x="4524375" y="5248275"/>
              <a:ext cx="2047875" cy="142875"/>
              <a:chOff x="11553825" y="5095875"/>
              <a:chExt cx="2047875" cy="142875"/>
            </a:xfrm>
          </xdr:grpSpPr>
          <xdr:sp macro="" textlink="">
            <xdr:nvSpPr>
              <xdr:cNvPr id="7173" name="OptionButton3" hidden="1">
                <a:extLst>
                  <a:ext uri="{63B3BB69-23CF-44E3-9099-C40C66FF867C}">
                    <a14:compatExt spid="_x0000_s7173"/>
                  </a:ext>
                </a:extLst>
              </xdr:cNvPr>
              <xdr:cNvSpPr/>
            </xdr:nvSpPr>
            <xdr:spPr>
              <a:xfrm>
                <a:off x="11553825" y="5095875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74" name="OptionButton4" hidden="1">
                <a:extLst>
                  <a:ext uri="{63B3BB69-23CF-44E3-9099-C40C66FF867C}">
                    <a14:compatExt spid="_x0000_s7174"/>
                  </a:ext>
                </a:extLst>
              </xdr:cNvPr>
              <xdr:cNvSpPr/>
            </xdr:nvSpPr>
            <xdr:spPr>
              <a:xfrm>
                <a:off x="13477875" y="5095875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19</xdr:row>
          <xdr:rowOff>123825</xdr:rowOff>
        </xdr:from>
        <xdr:to>
          <xdr:col>1</xdr:col>
          <xdr:colOff>3571875</xdr:colOff>
          <xdr:row>19</xdr:row>
          <xdr:rowOff>266700</xdr:rowOff>
        </xdr:to>
        <xdr:grpSp>
          <xdr:nvGrpSpPr>
            <xdr:cNvPr id="10" name="Groupe 9"/>
            <xdr:cNvGrpSpPr/>
          </xdr:nvGrpSpPr>
          <xdr:grpSpPr>
            <a:xfrm>
              <a:off x="4524375" y="5562600"/>
              <a:ext cx="2857500" cy="142875"/>
              <a:chOff x="11553825" y="5410200"/>
              <a:chExt cx="2857500" cy="142875"/>
            </a:xfrm>
          </xdr:grpSpPr>
          <xdr:sp macro="" textlink="">
            <xdr:nvSpPr>
              <xdr:cNvPr id="7175" name="OptionButton5" hidden="1">
                <a:extLst>
                  <a:ext uri="{63B3BB69-23CF-44E3-9099-C40C66FF867C}">
                    <a14:compatExt spid="_x0000_s7175"/>
                  </a:ext>
                </a:extLst>
              </xdr:cNvPr>
              <xdr:cNvSpPr/>
            </xdr:nvSpPr>
            <xdr:spPr>
              <a:xfrm>
                <a:off x="11553825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76" name="OptionButton6" hidden="1">
                <a:extLst>
                  <a:ext uri="{63B3BB69-23CF-44E3-9099-C40C66FF867C}">
                    <a14:compatExt spid="_x0000_s7176"/>
                  </a:ext>
                </a:extLst>
              </xdr:cNvPr>
              <xdr:cNvSpPr/>
            </xdr:nvSpPr>
            <xdr:spPr>
              <a:xfrm>
                <a:off x="13487400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77" name="OptionButton7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14287500" y="5410200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78" name="OptionButton8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12677775" y="5410200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16</xdr:row>
          <xdr:rowOff>80963</xdr:rowOff>
        </xdr:from>
        <xdr:to>
          <xdr:col>1</xdr:col>
          <xdr:colOff>2743200</xdr:colOff>
          <xdr:row>16</xdr:row>
          <xdr:rowOff>223838</xdr:rowOff>
        </xdr:to>
        <xdr:grpSp>
          <xdr:nvGrpSpPr>
            <xdr:cNvPr id="15" name="Groupe 14"/>
            <xdr:cNvGrpSpPr/>
          </xdr:nvGrpSpPr>
          <xdr:grpSpPr>
            <a:xfrm>
              <a:off x="4524375" y="4576763"/>
              <a:ext cx="2028825" cy="142875"/>
              <a:chOff x="11591925" y="4424363"/>
              <a:chExt cx="2028825" cy="142875"/>
            </a:xfrm>
          </xdr:grpSpPr>
          <xdr:sp macro="" textlink="">
            <xdr:nvSpPr>
              <xdr:cNvPr id="7179" name="OptionButton11" hidden="1">
                <a:extLst>
                  <a:ext uri="{63B3BB69-23CF-44E3-9099-C40C66FF867C}">
                    <a14:compatExt spid="_x0000_s7179"/>
                  </a:ext>
                </a:extLst>
              </xdr:cNvPr>
              <xdr:cNvSpPr/>
            </xdr:nvSpPr>
            <xdr:spPr>
              <a:xfrm>
                <a:off x="11591925" y="4424363"/>
                <a:ext cx="123825" cy="142875"/>
              </a:xfrm>
              <a:prstGeom prst="rect">
                <a:avLst/>
              </a:prstGeom>
            </xdr:spPr>
          </xdr:sp>
          <xdr:sp macro="" textlink="">
            <xdr:nvSpPr>
              <xdr:cNvPr id="7180" name="OptionButton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13496925" y="4424363"/>
                <a:ext cx="123825" cy="1428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771526</xdr:colOff>
      <xdr:row>22</xdr:row>
      <xdr:rowOff>85725</xdr:rowOff>
    </xdr:from>
    <xdr:to>
      <xdr:col>0</xdr:col>
      <xdr:colOff>2668544</xdr:colOff>
      <xdr:row>28</xdr:row>
      <xdr:rowOff>21578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6" y="5848350"/>
          <a:ext cx="1897018" cy="13169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44824</xdr:colOff>
      <xdr:row>6</xdr:row>
      <xdr:rowOff>88527</xdr:rowOff>
    </xdr:from>
    <xdr:to>
      <xdr:col>23</xdr:col>
      <xdr:colOff>666190</xdr:colOff>
      <xdr:row>67</xdr:row>
      <xdr:rowOff>123266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56030</xdr:colOff>
      <xdr:row>0</xdr:row>
      <xdr:rowOff>44825</xdr:rowOff>
    </xdr:from>
    <xdr:to>
      <xdr:col>0</xdr:col>
      <xdr:colOff>975278</xdr:colOff>
      <xdr:row>3</xdr:row>
      <xdr:rowOff>63875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44825"/>
          <a:ext cx="919248" cy="6381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44824</xdr:colOff>
      <xdr:row>6</xdr:row>
      <xdr:rowOff>88527</xdr:rowOff>
    </xdr:from>
    <xdr:to>
      <xdr:col>23</xdr:col>
      <xdr:colOff>666190</xdr:colOff>
      <xdr:row>68</xdr:row>
      <xdr:rowOff>123266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56030</xdr:colOff>
      <xdr:row>0</xdr:row>
      <xdr:rowOff>44825</xdr:rowOff>
    </xdr:from>
    <xdr:ext cx="919248" cy="644979"/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30" y="44825"/>
          <a:ext cx="919248" cy="644979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15209</xdr:colOff>
      <xdr:row>6</xdr:row>
      <xdr:rowOff>44023</xdr:rowOff>
    </xdr:from>
    <xdr:to>
      <xdr:col>24</xdr:col>
      <xdr:colOff>63087</xdr:colOff>
      <xdr:row>59</xdr:row>
      <xdr:rowOff>157101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56029</xdr:colOff>
      <xdr:row>0</xdr:row>
      <xdr:rowOff>44825</xdr:rowOff>
    </xdr:from>
    <xdr:to>
      <xdr:col>0</xdr:col>
      <xdr:colOff>963706</xdr:colOff>
      <xdr:row>3</xdr:row>
      <xdr:rowOff>19052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29" y="44825"/>
          <a:ext cx="907677" cy="6353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56031</xdr:colOff>
      <xdr:row>6</xdr:row>
      <xdr:rowOff>112059</xdr:rowOff>
    </xdr:from>
    <xdr:to>
      <xdr:col>24</xdr:col>
      <xdr:colOff>103909</xdr:colOff>
      <xdr:row>61</xdr:row>
      <xdr:rowOff>34637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56029</xdr:colOff>
      <xdr:row>0</xdr:row>
      <xdr:rowOff>44825</xdr:rowOff>
    </xdr:from>
    <xdr:to>
      <xdr:col>0</xdr:col>
      <xdr:colOff>963706</xdr:colOff>
      <xdr:row>3</xdr:row>
      <xdr:rowOff>19052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29" y="44825"/>
          <a:ext cx="907677" cy="631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8.emf"/><Relationship Id="rId18" Type="http://schemas.openxmlformats.org/officeDocument/2006/relationships/control" Target="../activeX/activeX10.xml"/><Relationship Id="rId26" Type="http://schemas.openxmlformats.org/officeDocument/2006/relationships/control" Target="../activeX/activeX1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7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7.emf"/><Relationship Id="rId24" Type="http://schemas.openxmlformats.org/officeDocument/2006/relationships/control" Target="../activeX/activeX13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6.xml"/><Relationship Id="rId19" Type="http://schemas.openxmlformats.org/officeDocument/2006/relationships/image" Target="../media/image11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Relationship Id="rId27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0.emf"/><Relationship Id="rId18" Type="http://schemas.openxmlformats.org/officeDocument/2006/relationships/control" Target="../activeX/activeX22.xml"/><Relationship Id="rId26" Type="http://schemas.openxmlformats.org/officeDocument/2006/relationships/control" Target="../activeX/activeX2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4.emf"/><Relationship Id="rId7" Type="http://schemas.openxmlformats.org/officeDocument/2006/relationships/image" Target="../media/image17.emf"/><Relationship Id="rId12" Type="http://schemas.openxmlformats.org/officeDocument/2006/relationships/control" Target="../activeX/activeX19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20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9.emf"/><Relationship Id="rId24" Type="http://schemas.openxmlformats.org/officeDocument/2006/relationships/control" Target="../activeX/activeX25.xml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10" Type="http://schemas.openxmlformats.org/officeDocument/2006/relationships/control" Target="../activeX/activeX18.xml"/><Relationship Id="rId19" Type="http://schemas.openxmlformats.org/officeDocument/2006/relationships/image" Target="../media/image23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Relationship Id="rId14" Type="http://schemas.openxmlformats.org/officeDocument/2006/relationships/control" Target="../activeX/activeX20.xml"/><Relationship Id="rId22" Type="http://schemas.openxmlformats.org/officeDocument/2006/relationships/control" Target="../activeX/activeX24.xml"/><Relationship Id="rId27" Type="http://schemas.openxmlformats.org/officeDocument/2006/relationships/image" Target="../media/image2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9"/>
  </sheetPr>
  <dimension ref="A1:M38"/>
  <sheetViews>
    <sheetView tabSelected="1" workbookViewId="0">
      <selection activeCell="J16" sqref="J16"/>
    </sheetView>
  </sheetViews>
  <sheetFormatPr baseColWidth="10" defaultRowHeight="15" x14ac:dyDescent="0.25"/>
  <sheetData>
    <row r="1" spans="1:13" x14ac:dyDescent="0.25">
      <c r="A1" s="77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</row>
    <row r="2" spans="1:13" ht="15.75" x14ac:dyDescent="0.25">
      <c r="A2" s="80"/>
      <c r="B2" s="81"/>
      <c r="C2" s="81"/>
      <c r="D2" s="82"/>
      <c r="E2" s="82"/>
      <c r="F2" s="82"/>
      <c r="G2" s="82"/>
      <c r="H2" s="82"/>
      <c r="I2" s="82"/>
      <c r="J2" s="82"/>
      <c r="K2" s="82"/>
      <c r="L2" s="82"/>
      <c r="M2" s="83"/>
    </row>
    <row r="3" spans="1:13" ht="26.25" x14ac:dyDescent="0.4">
      <c r="A3" s="80"/>
      <c r="B3" s="100" t="s">
        <v>107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83"/>
    </row>
    <row r="4" spans="1:13" ht="15.75" x14ac:dyDescent="0.25">
      <c r="A4" s="80"/>
      <c r="B4" s="81"/>
      <c r="C4" s="81"/>
      <c r="D4" s="82"/>
      <c r="E4" s="82"/>
      <c r="F4" s="82"/>
      <c r="G4" s="82"/>
      <c r="H4" s="82"/>
      <c r="I4" s="82"/>
      <c r="J4" s="82"/>
      <c r="K4" s="82"/>
      <c r="L4" s="82"/>
      <c r="M4" s="83"/>
    </row>
    <row r="5" spans="1:13" ht="15.75" x14ac:dyDescent="0.25">
      <c r="A5" s="80"/>
      <c r="B5" s="82"/>
      <c r="C5" s="81"/>
      <c r="D5" s="82"/>
      <c r="E5" s="82"/>
      <c r="F5" s="82"/>
      <c r="G5" s="82"/>
      <c r="H5" s="82"/>
      <c r="I5" s="82"/>
      <c r="J5" s="82"/>
      <c r="K5" s="82"/>
      <c r="L5" s="82"/>
      <c r="M5" s="83"/>
    </row>
    <row r="6" spans="1:13" ht="15.75" thickBot="1" x14ac:dyDescent="0.3">
      <c r="A6" s="84"/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3"/>
    </row>
    <row r="7" spans="1:13" ht="15.75" customHeight="1" x14ac:dyDescent="0.25">
      <c r="A7" s="80"/>
      <c r="B7" s="101" t="s">
        <v>97</v>
      </c>
      <c r="C7" s="102"/>
      <c r="D7" s="102"/>
      <c r="E7" s="102"/>
      <c r="F7" s="102"/>
      <c r="G7" s="102"/>
      <c r="H7" s="102"/>
      <c r="I7" s="102"/>
      <c r="J7" s="102"/>
      <c r="K7" s="102"/>
      <c r="L7" s="103"/>
      <c r="M7" s="83"/>
    </row>
    <row r="8" spans="1:13" ht="15.75" customHeight="1" x14ac:dyDescent="0.25">
      <c r="A8" s="80"/>
      <c r="B8" s="85"/>
      <c r="C8" s="86"/>
      <c r="D8" s="86"/>
      <c r="E8" s="86"/>
      <c r="F8" s="86"/>
      <c r="G8" s="86"/>
      <c r="H8" s="86"/>
      <c r="I8" s="86"/>
      <c r="J8" s="86"/>
      <c r="K8" s="86"/>
      <c r="L8" s="87"/>
      <c r="M8" s="83"/>
    </row>
    <row r="9" spans="1:13" s="75" customFormat="1" ht="33.75" customHeight="1" x14ac:dyDescent="0.25">
      <c r="A9" s="88"/>
      <c r="B9" s="104" t="s">
        <v>98</v>
      </c>
      <c r="C9" s="105"/>
      <c r="D9" s="105"/>
      <c r="E9" s="105"/>
      <c r="F9" s="105"/>
      <c r="G9" s="105"/>
      <c r="H9" s="105"/>
      <c r="I9" s="105"/>
      <c r="J9" s="105"/>
      <c r="K9" s="105"/>
      <c r="L9" s="106"/>
      <c r="M9" s="89"/>
    </row>
    <row r="10" spans="1:13" ht="15.75" x14ac:dyDescent="0.25">
      <c r="A10" s="80"/>
      <c r="B10" s="80"/>
      <c r="C10" s="81"/>
      <c r="D10" s="82"/>
      <c r="E10" s="82"/>
      <c r="F10" s="82"/>
      <c r="G10" s="82"/>
      <c r="H10" s="82"/>
      <c r="I10" s="82"/>
      <c r="J10" s="82"/>
      <c r="K10" s="82"/>
      <c r="L10" s="83"/>
      <c r="M10" s="83"/>
    </row>
    <row r="11" spans="1:13" ht="15.75" x14ac:dyDescent="0.25">
      <c r="A11" s="80"/>
      <c r="B11" s="107" t="s">
        <v>106</v>
      </c>
      <c r="C11" s="108"/>
      <c r="D11" s="108"/>
      <c r="E11" s="108"/>
      <c r="F11" s="108"/>
      <c r="G11" s="108"/>
      <c r="H11" s="108"/>
      <c r="I11" s="108"/>
      <c r="J11" s="108"/>
      <c r="K11" s="108"/>
      <c r="L11" s="109"/>
      <c r="M11" s="83"/>
    </row>
    <row r="12" spans="1:13" ht="15.75" x14ac:dyDescent="0.25">
      <c r="A12" s="80"/>
      <c r="B12" s="80"/>
      <c r="C12" s="81"/>
      <c r="D12" s="82"/>
      <c r="E12" s="82"/>
      <c r="F12" s="82"/>
      <c r="G12" s="82"/>
      <c r="H12" s="82"/>
      <c r="I12" s="82"/>
      <c r="J12" s="82"/>
      <c r="K12" s="82"/>
      <c r="L12" s="83"/>
      <c r="M12" s="83"/>
    </row>
    <row r="13" spans="1:13" ht="15.75" x14ac:dyDescent="0.25">
      <c r="A13" s="80"/>
      <c r="B13" s="80"/>
      <c r="C13" s="81"/>
      <c r="D13" s="82"/>
      <c r="E13" s="82"/>
      <c r="F13" s="82"/>
      <c r="G13" s="82"/>
      <c r="H13" s="82"/>
      <c r="I13" s="82"/>
      <c r="J13" s="82"/>
      <c r="K13" s="82"/>
      <c r="L13" s="83"/>
      <c r="M13" s="83"/>
    </row>
    <row r="14" spans="1:13" ht="16.5" thickBot="1" x14ac:dyDescent="0.3">
      <c r="A14" s="80"/>
      <c r="B14" s="90"/>
      <c r="C14" s="91"/>
      <c r="D14" s="92"/>
      <c r="E14" s="92"/>
      <c r="F14" s="92"/>
      <c r="G14" s="92"/>
      <c r="H14" s="92"/>
      <c r="I14" s="92"/>
      <c r="J14" s="92"/>
      <c r="K14" s="92"/>
      <c r="L14" s="93"/>
      <c r="M14" s="83"/>
    </row>
    <row r="15" spans="1:13" ht="15.75" x14ac:dyDescent="0.25">
      <c r="A15" s="80"/>
      <c r="B15" s="81"/>
      <c r="C15" s="81"/>
      <c r="D15" s="82"/>
      <c r="E15" s="82"/>
      <c r="F15" s="82"/>
      <c r="G15" s="82"/>
      <c r="H15" s="82"/>
      <c r="I15" s="82"/>
      <c r="J15" s="82"/>
      <c r="K15" s="82"/>
      <c r="L15" s="82"/>
      <c r="M15" s="83"/>
    </row>
    <row r="16" spans="1:13" ht="15.75" x14ac:dyDescent="0.25">
      <c r="A16" s="80"/>
      <c r="B16" s="81"/>
      <c r="C16" s="81"/>
      <c r="D16" s="82"/>
      <c r="E16" s="82"/>
      <c r="F16" s="82"/>
      <c r="G16" s="82"/>
      <c r="H16" s="82"/>
      <c r="I16" s="82"/>
      <c r="J16" s="82"/>
      <c r="K16" s="82"/>
      <c r="L16" s="82"/>
      <c r="M16" s="83"/>
    </row>
    <row r="17" spans="1:13" x14ac:dyDescent="0.25">
      <c r="A17" s="84"/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3"/>
    </row>
    <row r="18" spans="1:13" ht="15.75" thickBot="1" x14ac:dyDescent="0.3">
      <c r="A18" s="84"/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3"/>
    </row>
    <row r="19" spans="1:13" ht="21.75" customHeight="1" thickBot="1" x14ac:dyDescent="0.3">
      <c r="A19" s="84"/>
      <c r="B19" s="110" t="s">
        <v>96</v>
      </c>
      <c r="C19" s="111"/>
      <c r="D19" s="111"/>
      <c r="E19" s="111"/>
      <c r="F19" s="111"/>
      <c r="G19" s="111"/>
      <c r="H19" s="111"/>
      <c r="I19" s="111"/>
      <c r="J19" s="111"/>
      <c r="K19" s="111"/>
      <c r="L19" s="112"/>
      <c r="M19" s="83"/>
    </row>
    <row r="20" spans="1:13" x14ac:dyDescent="0.25">
      <c r="A20" s="84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3"/>
    </row>
    <row r="21" spans="1:13" x14ac:dyDescent="0.25">
      <c r="A21" s="84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3"/>
    </row>
    <row r="22" spans="1:13" x14ac:dyDescent="0.25">
      <c r="A22" s="84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3"/>
    </row>
    <row r="23" spans="1:13" x14ac:dyDescent="0.25">
      <c r="A23" s="84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3"/>
    </row>
    <row r="24" spans="1:13" x14ac:dyDescent="0.25">
      <c r="A24" s="84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3"/>
    </row>
    <row r="25" spans="1:13" x14ac:dyDescent="0.25">
      <c r="A25" s="84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</row>
    <row r="26" spans="1:13" x14ac:dyDescent="0.25">
      <c r="A26" s="84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3"/>
    </row>
    <row r="27" spans="1:13" x14ac:dyDescent="0.25">
      <c r="A27" s="84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3"/>
    </row>
    <row r="28" spans="1:13" x14ac:dyDescent="0.25">
      <c r="A28" s="84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3"/>
    </row>
    <row r="29" spans="1:13" x14ac:dyDescent="0.25">
      <c r="A29" s="84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3"/>
    </row>
    <row r="30" spans="1:13" x14ac:dyDescent="0.25">
      <c r="A30" s="84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3"/>
    </row>
    <row r="31" spans="1:13" x14ac:dyDescent="0.25">
      <c r="A31" s="84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3"/>
    </row>
    <row r="32" spans="1:13" x14ac:dyDescent="0.25">
      <c r="A32" s="84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3"/>
    </row>
    <row r="33" spans="1:13" x14ac:dyDescent="0.25">
      <c r="A33" s="84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3"/>
    </row>
    <row r="34" spans="1:13" x14ac:dyDescent="0.25">
      <c r="A34" s="84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3"/>
    </row>
    <row r="35" spans="1:13" x14ac:dyDescent="0.25">
      <c r="A35" s="84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3"/>
    </row>
    <row r="36" spans="1:13" x14ac:dyDescent="0.25">
      <c r="A36" s="84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3"/>
    </row>
    <row r="37" spans="1:13" x14ac:dyDescent="0.25">
      <c r="A37" s="84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3"/>
    </row>
    <row r="38" spans="1:13" ht="15.75" thickBot="1" x14ac:dyDescent="0.3">
      <c r="A38" s="94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3"/>
    </row>
  </sheetData>
  <sheetProtection password="CBEB" sheet="1" objects="1" scenarios="1"/>
  <mergeCells count="5">
    <mergeCell ref="B3:L3"/>
    <mergeCell ref="B7:L7"/>
    <mergeCell ref="B9:L9"/>
    <mergeCell ref="B11:L11"/>
    <mergeCell ref="B19:L1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ommandButton2">
          <controlPr defaultSize="0" autoFill="0" autoLine="0" r:id="rId5">
            <anchor moveWithCells="1">
              <from>
                <xdr:col>7</xdr:col>
                <xdr:colOff>123825</xdr:colOff>
                <xdr:row>21</xdr:row>
                <xdr:rowOff>85725</xdr:rowOff>
              </from>
              <to>
                <xdr:col>9</xdr:col>
                <xdr:colOff>381000</xdr:colOff>
                <xdr:row>24</xdr:row>
                <xdr:rowOff>85725</xdr:rowOff>
              </to>
            </anchor>
          </controlPr>
        </control>
      </mc:Choice>
      <mc:Fallback>
        <control shapeId="6150" r:id="rId4" name="CommandButton2"/>
      </mc:Fallback>
    </mc:AlternateContent>
    <mc:AlternateContent xmlns:mc="http://schemas.openxmlformats.org/markup-compatibility/2006">
      <mc:Choice Requires="x14">
        <control shapeId="6149" r:id="rId6" name="CommandButton1">
          <controlPr defaultSize="0" autoFill="0" autoLine="0" r:id="rId7">
            <anchor moveWithCells="1">
              <from>
                <xdr:col>2</xdr:col>
                <xdr:colOff>609600</xdr:colOff>
                <xdr:row>21</xdr:row>
                <xdr:rowOff>85725</xdr:rowOff>
              </from>
              <to>
                <xdr:col>5</xdr:col>
                <xdr:colOff>104775</xdr:colOff>
                <xdr:row>24</xdr:row>
                <xdr:rowOff>85725</xdr:rowOff>
              </to>
            </anchor>
          </controlPr>
        </control>
      </mc:Choice>
      <mc:Fallback>
        <control shapeId="61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4"/>
  </sheetPr>
  <dimension ref="A1:J33"/>
  <sheetViews>
    <sheetView topLeftCell="A2" zoomScaleNormal="100" workbookViewId="0">
      <selection activeCell="B11" sqref="B11"/>
    </sheetView>
  </sheetViews>
  <sheetFormatPr baseColWidth="10" defaultRowHeight="15" x14ac:dyDescent="0.25"/>
  <cols>
    <col min="1" max="1" width="55.7109375" style="1" customWidth="1"/>
    <col min="2" max="2" width="88.28515625" style="1" customWidth="1"/>
    <col min="3" max="3" width="15.85546875" style="1" customWidth="1"/>
    <col min="4" max="16384" width="11.42578125" style="1"/>
  </cols>
  <sheetData>
    <row r="1" spans="1:10" ht="32.25" thickBot="1" x14ac:dyDescent="0.55000000000000004">
      <c r="A1" s="113" t="s">
        <v>99</v>
      </c>
      <c r="B1" s="114"/>
      <c r="C1" s="115"/>
    </row>
    <row r="2" spans="1:10" ht="15" customHeight="1" x14ac:dyDescent="0.25">
      <c r="A2" s="118" t="s">
        <v>1</v>
      </c>
      <c r="B2" s="119"/>
      <c r="C2" s="120"/>
    </row>
    <row r="3" spans="1:10" ht="15.75" customHeight="1" x14ac:dyDescent="0.25">
      <c r="A3" s="121"/>
      <c r="B3" s="122"/>
      <c r="C3" s="123"/>
    </row>
    <row r="4" spans="1:10" ht="15.75" thickBot="1" x14ac:dyDescent="0.3">
      <c r="A4" s="53"/>
      <c r="B4" s="54"/>
      <c r="C4" s="55"/>
      <c r="J4" s="25"/>
    </row>
    <row r="5" spans="1:10" ht="23.25" x14ac:dyDescent="0.35">
      <c r="A5" s="60" t="s">
        <v>0</v>
      </c>
      <c r="B5" s="68"/>
      <c r="C5" s="116" t="s">
        <v>65</v>
      </c>
    </row>
    <row r="6" spans="1:10" ht="23.25" x14ac:dyDescent="0.35">
      <c r="A6" s="61" t="s">
        <v>2</v>
      </c>
      <c r="B6" s="69"/>
      <c r="C6" s="116"/>
    </row>
    <row r="7" spans="1:10" ht="23.25" x14ac:dyDescent="0.35">
      <c r="A7" s="61" t="s">
        <v>71</v>
      </c>
      <c r="B7" s="46" t="s">
        <v>95</v>
      </c>
      <c r="C7" s="116"/>
    </row>
    <row r="8" spans="1:10" ht="23.25" x14ac:dyDescent="0.35">
      <c r="A8" s="61" t="s">
        <v>69</v>
      </c>
      <c r="B8" s="46" t="s">
        <v>95</v>
      </c>
      <c r="C8" s="116"/>
    </row>
    <row r="9" spans="1:10" ht="23.25" x14ac:dyDescent="0.35">
      <c r="A9" s="61" t="s">
        <v>92</v>
      </c>
      <c r="B9" s="69"/>
      <c r="C9" s="116"/>
    </row>
    <row r="10" spans="1:10" ht="24" thickBot="1" x14ac:dyDescent="0.4">
      <c r="A10" s="62" t="s">
        <v>93</v>
      </c>
      <c r="B10" s="70"/>
      <c r="C10" s="116"/>
    </row>
    <row r="11" spans="1:10" ht="24" thickBot="1" x14ac:dyDescent="0.4">
      <c r="A11" s="56"/>
      <c r="B11" s="57"/>
      <c r="C11" s="55"/>
    </row>
    <row r="12" spans="1:10" ht="23.25" x14ac:dyDescent="0.35">
      <c r="A12" s="60" t="s">
        <v>70</v>
      </c>
      <c r="B12" s="47" t="s">
        <v>95</v>
      </c>
      <c r="C12" s="124" t="s">
        <v>66</v>
      </c>
    </row>
    <row r="13" spans="1:10" ht="24" thickBot="1" x14ac:dyDescent="0.4">
      <c r="A13" s="62" t="s">
        <v>49</v>
      </c>
      <c r="B13" s="59" t="s">
        <v>95</v>
      </c>
      <c r="C13" s="124"/>
    </row>
    <row r="14" spans="1:10" ht="24" thickBot="1" x14ac:dyDescent="0.4">
      <c r="A14" s="56"/>
      <c r="B14" s="57"/>
      <c r="C14" s="55"/>
    </row>
    <row r="15" spans="1:10" ht="24" thickBot="1" x14ac:dyDescent="0.4">
      <c r="A15" s="63" t="s">
        <v>61</v>
      </c>
      <c r="B15" s="67">
        <f ca="1">TODAY()</f>
        <v>43480</v>
      </c>
      <c r="C15" s="71"/>
      <c r="D15" s="1" t="s">
        <v>46</v>
      </c>
    </row>
    <row r="16" spans="1:10" ht="15.75" thickBot="1" x14ac:dyDescent="0.3">
      <c r="A16" s="53"/>
      <c r="B16" s="54"/>
      <c r="C16" s="55"/>
    </row>
    <row r="17" spans="1:3" ht="24.95" customHeight="1" x14ac:dyDescent="0.35">
      <c r="A17" s="65" t="s">
        <v>60</v>
      </c>
      <c r="B17" s="97" t="s">
        <v>63</v>
      </c>
      <c r="C17" s="116" t="s">
        <v>67</v>
      </c>
    </row>
    <row r="18" spans="1:3" ht="24.95" customHeight="1" x14ac:dyDescent="0.35">
      <c r="A18" s="66" t="s">
        <v>55</v>
      </c>
      <c r="B18" s="98" t="s">
        <v>63</v>
      </c>
      <c r="C18" s="116"/>
    </row>
    <row r="19" spans="1:3" ht="24.95" customHeight="1" x14ac:dyDescent="0.35">
      <c r="A19" s="66" t="s">
        <v>53</v>
      </c>
      <c r="B19" s="98" t="s">
        <v>63</v>
      </c>
      <c r="C19" s="116"/>
    </row>
    <row r="20" spans="1:3" ht="24.95" customHeight="1" thickBot="1" x14ac:dyDescent="0.4">
      <c r="A20" s="64" t="s">
        <v>62</v>
      </c>
      <c r="B20" s="99" t="s">
        <v>64</v>
      </c>
      <c r="C20" s="116"/>
    </row>
    <row r="21" spans="1:3" ht="24.95" customHeight="1" thickBot="1" x14ac:dyDescent="0.3">
      <c r="A21" s="53"/>
      <c r="B21" s="54"/>
      <c r="C21" s="55"/>
    </row>
    <row r="22" spans="1:3" ht="24.95" customHeight="1" thickBot="1" x14ac:dyDescent="0.35">
      <c r="A22" s="53"/>
      <c r="B22" s="48" t="s">
        <v>94</v>
      </c>
      <c r="C22" s="117" t="s">
        <v>68</v>
      </c>
    </row>
    <row r="23" spans="1:3" ht="24.75" customHeight="1" thickBot="1" x14ac:dyDescent="0.35">
      <c r="A23" s="53"/>
      <c r="B23" s="49" t="s">
        <v>44</v>
      </c>
      <c r="C23" s="117"/>
    </row>
    <row r="24" spans="1:3" ht="15.75" thickBot="1" x14ac:dyDescent="0.3">
      <c r="A24" s="53"/>
      <c r="B24" s="54"/>
      <c r="C24" s="55"/>
    </row>
    <row r="25" spans="1:3" ht="23.25" x14ac:dyDescent="0.35">
      <c r="A25" s="53"/>
      <c r="B25" s="50" t="s">
        <v>34</v>
      </c>
      <c r="C25" s="55"/>
    </row>
    <row r="26" spans="1:3" x14ac:dyDescent="0.25">
      <c r="A26" s="53"/>
      <c r="B26" s="51"/>
      <c r="C26" s="55"/>
    </row>
    <row r="27" spans="1:3" x14ac:dyDescent="0.25">
      <c r="A27" s="53"/>
      <c r="B27" s="51"/>
      <c r="C27" s="55"/>
    </row>
    <row r="28" spans="1:3" x14ac:dyDescent="0.25">
      <c r="A28" s="53"/>
      <c r="B28" s="51"/>
      <c r="C28" s="55"/>
    </row>
    <row r="29" spans="1:3" x14ac:dyDescent="0.25">
      <c r="A29" s="53"/>
      <c r="B29" s="51"/>
      <c r="C29" s="55"/>
    </row>
    <row r="30" spans="1:3" x14ac:dyDescent="0.25">
      <c r="A30" s="53"/>
      <c r="B30" s="51"/>
      <c r="C30" s="55"/>
    </row>
    <row r="31" spans="1:3" x14ac:dyDescent="0.25">
      <c r="A31" s="53"/>
      <c r="B31" s="51"/>
      <c r="C31" s="55"/>
    </row>
    <row r="32" spans="1:3" ht="15.75" thickBot="1" x14ac:dyDescent="0.3">
      <c r="A32" s="53"/>
      <c r="B32" s="52"/>
      <c r="C32" s="55"/>
    </row>
    <row r="33" spans="1:3" ht="15.75" thickBot="1" x14ac:dyDescent="0.3">
      <c r="A33" s="95"/>
      <c r="B33" s="96"/>
      <c r="C33" s="58"/>
    </row>
  </sheetData>
  <sheetProtection password="CBEB" sheet="1" objects="1" scenarios="1"/>
  <mergeCells count="6">
    <mergeCell ref="A1:C1"/>
    <mergeCell ref="C17:C20"/>
    <mergeCell ref="C22:C23"/>
    <mergeCell ref="A2:C3"/>
    <mergeCell ref="C5:C10"/>
    <mergeCell ref="C12:C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OptionButton12">
          <controlPr defaultSize="0" autoLine="0" r:id="rId5">
            <anchor moveWithCells="1">
              <from>
                <xdr:col>1</xdr:col>
                <xdr:colOff>2619375</xdr:colOff>
                <xdr:row>16</xdr:row>
                <xdr:rowOff>85725</xdr:rowOff>
              </from>
              <to>
                <xdr:col>1</xdr:col>
                <xdr:colOff>2743200</xdr:colOff>
                <xdr:row>16</xdr:row>
                <xdr:rowOff>228600</xdr:rowOff>
              </to>
            </anchor>
          </controlPr>
        </control>
      </mc:Choice>
      <mc:Fallback>
        <control shapeId="3088" r:id="rId4" name="OptionButton12"/>
      </mc:Fallback>
    </mc:AlternateContent>
    <mc:AlternateContent xmlns:mc="http://schemas.openxmlformats.org/markup-compatibility/2006">
      <mc:Choice Requires="x14">
        <control shapeId="3087" r:id="rId6" name="OptionButton11">
          <controlPr defaultSize="0" autoLine="0" r:id="rId7">
            <anchor moveWithCells="1">
              <from>
                <xdr:col>1</xdr:col>
                <xdr:colOff>714375</xdr:colOff>
                <xdr:row>16</xdr:row>
                <xdr:rowOff>85725</xdr:rowOff>
              </from>
              <to>
                <xdr:col>1</xdr:col>
                <xdr:colOff>838200</xdr:colOff>
                <xdr:row>16</xdr:row>
                <xdr:rowOff>228600</xdr:rowOff>
              </to>
            </anchor>
          </controlPr>
        </control>
      </mc:Choice>
      <mc:Fallback>
        <control shapeId="3087" r:id="rId6" name="OptionButton11"/>
      </mc:Fallback>
    </mc:AlternateContent>
    <mc:AlternateContent xmlns:mc="http://schemas.openxmlformats.org/markup-compatibility/2006">
      <mc:Choice Requires="x14">
        <control shapeId="3084" r:id="rId8" name="OptionButton8">
          <controlPr defaultSize="0" autoLine="0" r:id="rId9">
            <anchor moveWithCells="1">
              <from>
                <xdr:col>1</xdr:col>
                <xdr:colOff>1838325</xdr:colOff>
                <xdr:row>19</xdr:row>
                <xdr:rowOff>123825</xdr:rowOff>
              </from>
              <to>
                <xdr:col>1</xdr:col>
                <xdr:colOff>1962150</xdr:colOff>
                <xdr:row>19</xdr:row>
                <xdr:rowOff>266700</xdr:rowOff>
              </to>
            </anchor>
          </controlPr>
        </control>
      </mc:Choice>
      <mc:Fallback>
        <control shapeId="3084" r:id="rId8" name="OptionButton8"/>
      </mc:Fallback>
    </mc:AlternateContent>
    <mc:AlternateContent xmlns:mc="http://schemas.openxmlformats.org/markup-compatibility/2006">
      <mc:Choice Requires="x14">
        <control shapeId="3083" r:id="rId10" name="OptionButton7">
          <controlPr defaultSize="0" autoLine="0" r:id="rId11">
            <anchor moveWithCells="1">
              <from>
                <xdr:col>1</xdr:col>
                <xdr:colOff>3448050</xdr:colOff>
                <xdr:row>19</xdr:row>
                <xdr:rowOff>123825</xdr:rowOff>
              </from>
              <to>
                <xdr:col>1</xdr:col>
                <xdr:colOff>3571875</xdr:colOff>
                <xdr:row>19</xdr:row>
                <xdr:rowOff>266700</xdr:rowOff>
              </to>
            </anchor>
          </controlPr>
        </control>
      </mc:Choice>
      <mc:Fallback>
        <control shapeId="3083" r:id="rId10" name="OptionButton7"/>
      </mc:Fallback>
    </mc:AlternateContent>
    <mc:AlternateContent xmlns:mc="http://schemas.openxmlformats.org/markup-compatibility/2006">
      <mc:Choice Requires="x14">
        <control shapeId="3082" r:id="rId12" name="OptionButton6">
          <controlPr defaultSize="0" autoLine="0" r:id="rId13">
            <anchor moveWithCells="1">
              <from>
                <xdr:col>1</xdr:col>
                <xdr:colOff>2647950</xdr:colOff>
                <xdr:row>19</xdr:row>
                <xdr:rowOff>123825</xdr:rowOff>
              </from>
              <to>
                <xdr:col>1</xdr:col>
                <xdr:colOff>2771775</xdr:colOff>
                <xdr:row>19</xdr:row>
                <xdr:rowOff>266700</xdr:rowOff>
              </to>
            </anchor>
          </controlPr>
        </control>
      </mc:Choice>
      <mc:Fallback>
        <control shapeId="3082" r:id="rId12" name="OptionButton6"/>
      </mc:Fallback>
    </mc:AlternateContent>
    <mc:AlternateContent xmlns:mc="http://schemas.openxmlformats.org/markup-compatibility/2006">
      <mc:Choice Requires="x14">
        <control shapeId="3081" r:id="rId14" name="OptionButton5">
          <controlPr defaultSize="0" autoLine="0" r:id="rId15">
            <anchor moveWithCells="1">
              <from>
                <xdr:col>1</xdr:col>
                <xdr:colOff>714375</xdr:colOff>
                <xdr:row>19</xdr:row>
                <xdr:rowOff>123825</xdr:rowOff>
              </from>
              <to>
                <xdr:col>1</xdr:col>
                <xdr:colOff>838200</xdr:colOff>
                <xdr:row>19</xdr:row>
                <xdr:rowOff>266700</xdr:rowOff>
              </to>
            </anchor>
          </controlPr>
        </control>
      </mc:Choice>
      <mc:Fallback>
        <control shapeId="3081" r:id="rId14" name="OptionButton5"/>
      </mc:Fallback>
    </mc:AlternateContent>
    <mc:AlternateContent xmlns:mc="http://schemas.openxmlformats.org/markup-compatibility/2006">
      <mc:Choice Requires="x14">
        <control shapeId="3080" r:id="rId16" name="OptionButton4">
          <controlPr defaultSize="0" autoLine="0" r:id="rId17">
            <anchor moveWithCells="1">
              <from>
                <xdr:col>1</xdr:col>
                <xdr:colOff>2638425</xdr:colOff>
                <xdr:row>18</xdr:row>
                <xdr:rowOff>123825</xdr:rowOff>
              </from>
              <to>
                <xdr:col>1</xdr:col>
                <xdr:colOff>2762250</xdr:colOff>
                <xdr:row>18</xdr:row>
                <xdr:rowOff>266700</xdr:rowOff>
              </to>
            </anchor>
          </controlPr>
        </control>
      </mc:Choice>
      <mc:Fallback>
        <control shapeId="3080" r:id="rId16" name="OptionButton4"/>
      </mc:Fallback>
    </mc:AlternateContent>
    <mc:AlternateContent xmlns:mc="http://schemas.openxmlformats.org/markup-compatibility/2006">
      <mc:Choice Requires="x14">
        <control shapeId="3079" r:id="rId18" name="OptionButton3">
          <controlPr defaultSize="0" autoLine="0" r:id="rId19">
            <anchor moveWithCells="1">
              <from>
                <xdr:col>1</xdr:col>
                <xdr:colOff>714375</xdr:colOff>
                <xdr:row>18</xdr:row>
                <xdr:rowOff>123825</xdr:rowOff>
              </from>
              <to>
                <xdr:col>1</xdr:col>
                <xdr:colOff>838200</xdr:colOff>
                <xdr:row>18</xdr:row>
                <xdr:rowOff>266700</xdr:rowOff>
              </to>
            </anchor>
          </controlPr>
        </control>
      </mc:Choice>
      <mc:Fallback>
        <control shapeId="3079" r:id="rId18" name="OptionButton3"/>
      </mc:Fallback>
    </mc:AlternateContent>
    <mc:AlternateContent xmlns:mc="http://schemas.openxmlformats.org/markup-compatibility/2006">
      <mc:Choice Requires="x14">
        <control shapeId="3078" r:id="rId20" name="OptionButton2">
          <controlPr defaultSize="0" autoLine="0" r:id="rId21">
            <anchor moveWithCells="1">
              <from>
                <xdr:col>1</xdr:col>
                <xdr:colOff>2628900</xdr:colOff>
                <xdr:row>17</xdr:row>
                <xdr:rowOff>123825</xdr:rowOff>
              </from>
              <to>
                <xdr:col>1</xdr:col>
                <xdr:colOff>2752725</xdr:colOff>
                <xdr:row>17</xdr:row>
                <xdr:rowOff>266700</xdr:rowOff>
              </to>
            </anchor>
          </controlPr>
        </control>
      </mc:Choice>
      <mc:Fallback>
        <control shapeId="3078" r:id="rId20" name="OptionButton2"/>
      </mc:Fallback>
    </mc:AlternateContent>
    <mc:AlternateContent xmlns:mc="http://schemas.openxmlformats.org/markup-compatibility/2006">
      <mc:Choice Requires="x14">
        <control shapeId="3077" r:id="rId22" name="OptionButton1">
          <controlPr defaultSize="0" autoLine="0" r:id="rId23">
            <anchor moveWithCells="1">
              <from>
                <xdr:col>1</xdr:col>
                <xdr:colOff>714375</xdr:colOff>
                <xdr:row>17</xdr:row>
                <xdr:rowOff>123825</xdr:rowOff>
              </from>
              <to>
                <xdr:col>1</xdr:col>
                <xdr:colOff>838200</xdr:colOff>
                <xdr:row>17</xdr:row>
                <xdr:rowOff>266700</xdr:rowOff>
              </to>
            </anchor>
          </controlPr>
        </control>
      </mc:Choice>
      <mc:Fallback>
        <control shapeId="3077" r:id="rId22" name="OptionButton1"/>
      </mc:Fallback>
    </mc:AlternateContent>
    <mc:AlternateContent xmlns:mc="http://schemas.openxmlformats.org/markup-compatibility/2006">
      <mc:Choice Requires="x14">
        <control shapeId="3073" r:id="rId24" name="CommandButton21">
          <controlPr defaultSize="0" autoFill="0" autoLine="0" r:id="rId25">
            <anchor moveWithCells="1">
              <from>
                <xdr:col>1</xdr:col>
                <xdr:colOff>1428750</xdr:colOff>
                <xdr:row>25</xdr:row>
                <xdr:rowOff>180975</xdr:rowOff>
              </from>
              <to>
                <xdr:col>1</xdr:col>
                <xdr:colOff>2657475</xdr:colOff>
                <xdr:row>29</xdr:row>
                <xdr:rowOff>57150</xdr:rowOff>
              </to>
            </anchor>
          </controlPr>
        </control>
      </mc:Choice>
      <mc:Fallback>
        <control shapeId="3073" r:id="rId24" name="CommandButton21"/>
      </mc:Fallback>
    </mc:AlternateContent>
    <mc:AlternateContent xmlns:mc="http://schemas.openxmlformats.org/markup-compatibility/2006">
      <mc:Choice Requires="x14">
        <control shapeId="3074" r:id="rId26" name="CommandButton22">
          <controlPr defaultSize="0" autoFill="0" autoLine="0" r:id="rId27">
            <anchor moveWithCells="1">
              <from>
                <xdr:col>1</xdr:col>
                <xdr:colOff>3238500</xdr:colOff>
                <xdr:row>25</xdr:row>
                <xdr:rowOff>171450</xdr:rowOff>
              </from>
              <to>
                <xdr:col>1</xdr:col>
                <xdr:colOff>4381500</xdr:colOff>
                <xdr:row>29</xdr:row>
                <xdr:rowOff>47625</xdr:rowOff>
              </to>
            </anchor>
          </controlPr>
        </control>
      </mc:Choice>
      <mc:Fallback>
        <control shapeId="3074" r:id="rId26" name="CommandButton2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J33"/>
  <sheetViews>
    <sheetView topLeftCell="A2" zoomScaleNormal="100" workbookViewId="0">
      <selection activeCell="B33" sqref="B33"/>
    </sheetView>
  </sheetViews>
  <sheetFormatPr baseColWidth="10" defaultRowHeight="15" x14ac:dyDescent="0.25"/>
  <cols>
    <col min="1" max="1" width="57.140625" style="1" customWidth="1"/>
    <col min="2" max="2" width="88.28515625" style="1" customWidth="1"/>
    <col min="3" max="3" width="15.85546875" style="1" customWidth="1"/>
    <col min="4" max="16384" width="11.42578125" style="1"/>
  </cols>
  <sheetData>
    <row r="1" spans="1:10" ht="32.25" thickBot="1" x14ac:dyDescent="0.55000000000000004">
      <c r="A1" s="113" t="s">
        <v>104</v>
      </c>
      <c r="B1" s="114"/>
      <c r="C1" s="115"/>
    </row>
    <row r="2" spans="1:10" ht="15" customHeight="1" x14ac:dyDescent="0.25">
      <c r="A2" s="118" t="s">
        <v>1</v>
      </c>
      <c r="B2" s="119"/>
      <c r="C2" s="120"/>
    </row>
    <row r="3" spans="1:10" ht="15.75" customHeight="1" x14ac:dyDescent="0.25">
      <c r="A3" s="121"/>
      <c r="B3" s="122"/>
      <c r="C3" s="123"/>
    </row>
    <row r="4" spans="1:10" ht="15.75" thickBot="1" x14ac:dyDescent="0.3">
      <c r="A4" s="53"/>
      <c r="B4" s="54"/>
      <c r="C4" s="55"/>
      <c r="J4" s="25"/>
    </row>
    <row r="5" spans="1:10" ht="23.25" x14ac:dyDescent="0.35">
      <c r="A5" s="60" t="s">
        <v>0</v>
      </c>
      <c r="B5" s="68"/>
      <c r="C5" s="116" t="s">
        <v>65</v>
      </c>
    </row>
    <row r="6" spans="1:10" ht="23.25" x14ac:dyDescent="0.35">
      <c r="A6" s="61" t="s">
        <v>2</v>
      </c>
      <c r="B6" s="69"/>
      <c r="C6" s="116"/>
    </row>
    <row r="7" spans="1:10" ht="23.25" x14ac:dyDescent="0.35">
      <c r="A7" s="61" t="s">
        <v>71</v>
      </c>
      <c r="B7" s="46" t="s">
        <v>95</v>
      </c>
      <c r="C7" s="116"/>
    </row>
    <row r="8" spans="1:10" ht="23.25" x14ac:dyDescent="0.35">
      <c r="A8" s="61" t="s">
        <v>69</v>
      </c>
      <c r="B8" s="46" t="s">
        <v>95</v>
      </c>
      <c r="C8" s="116"/>
    </row>
    <row r="9" spans="1:10" ht="23.25" x14ac:dyDescent="0.35">
      <c r="A9" s="61" t="s">
        <v>92</v>
      </c>
      <c r="B9" s="69"/>
      <c r="C9" s="116"/>
    </row>
    <row r="10" spans="1:10" ht="24" thickBot="1" x14ac:dyDescent="0.4">
      <c r="A10" s="62" t="s">
        <v>93</v>
      </c>
      <c r="B10" s="70"/>
      <c r="C10" s="116"/>
    </row>
    <row r="11" spans="1:10" ht="24" thickBot="1" x14ac:dyDescent="0.4">
      <c r="A11" s="56"/>
      <c r="B11" s="57"/>
      <c r="C11" s="55"/>
    </row>
    <row r="12" spans="1:10" ht="23.25" x14ac:dyDescent="0.35">
      <c r="A12" s="65" t="s">
        <v>102</v>
      </c>
      <c r="B12" s="47" t="s">
        <v>95</v>
      </c>
      <c r="C12" s="116" t="s">
        <v>103</v>
      </c>
    </row>
    <row r="13" spans="1:10" ht="24" thickBot="1" x14ac:dyDescent="0.4">
      <c r="A13" s="64" t="s">
        <v>49</v>
      </c>
      <c r="B13" s="59" t="s">
        <v>95</v>
      </c>
      <c r="C13" s="116"/>
    </row>
    <row r="14" spans="1:10" ht="24" thickBot="1" x14ac:dyDescent="0.4">
      <c r="A14" s="56"/>
      <c r="B14" s="57"/>
      <c r="C14" s="55"/>
    </row>
    <row r="15" spans="1:10" ht="24" thickBot="1" x14ac:dyDescent="0.4">
      <c r="A15" s="63" t="s">
        <v>61</v>
      </c>
      <c r="B15" s="67">
        <f ca="1">TODAY()</f>
        <v>43480</v>
      </c>
      <c r="C15" s="71"/>
      <c r="D15" s="1" t="s">
        <v>46</v>
      </c>
    </row>
    <row r="16" spans="1:10" ht="15.75" thickBot="1" x14ac:dyDescent="0.3">
      <c r="A16" s="53"/>
      <c r="B16" s="54"/>
      <c r="C16" s="55"/>
    </row>
    <row r="17" spans="1:3" ht="24.95" customHeight="1" x14ac:dyDescent="0.35">
      <c r="A17" s="65" t="s">
        <v>60</v>
      </c>
      <c r="B17" s="97" t="s">
        <v>63</v>
      </c>
      <c r="C17" s="116" t="s">
        <v>67</v>
      </c>
    </row>
    <row r="18" spans="1:3" ht="24.95" customHeight="1" x14ac:dyDescent="0.35">
      <c r="A18" s="66" t="s">
        <v>55</v>
      </c>
      <c r="B18" s="98" t="s">
        <v>63</v>
      </c>
      <c r="C18" s="116"/>
    </row>
    <row r="19" spans="1:3" ht="24.95" customHeight="1" x14ac:dyDescent="0.35">
      <c r="A19" s="66" t="s">
        <v>53</v>
      </c>
      <c r="B19" s="98" t="s">
        <v>63</v>
      </c>
      <c r="C19" s="116"/>
    </row>
    <row r="20" spans="1:3" ht="24.95" customHeight="1" thickBot="1" x14ac:dyDescent="0.4">
      <c r="A20" s="64" t="s">
        <v>62</v>
      </c>
      <c r="B20" s="99" t="s">
        <v>64</v>
      </c>
      <c r="C20" s="116"/>
    </row>
    <row r="21" spans="1:3" ht="24.95" customHeight="1" thickBot="1" x14ac:dyDescent="0.3">
      <c r="A21" s="53"/>
      <c r="B21" s="54"/>
      <c r="C21" s="55"/>
    </row>
    <row r="22" spans="1:3" ht="24.95" customHeight="1" thickBot="1" x14ac:dyDescent="0.35">
      <c r="A22" s="53"/>
      <c r="B22" s="48" t="s">
        <v>94</v>
      </c>
      <c r="C22" s="117" t="s">
        <v>68</v>
      </c>
    </row>
    <row r="23" spans="1:3" ht="24.75" customHeight="1" thickBot="1" x14ac:dyDescent="0.35">
      <c r="A23" s="53"/>
      <c r="B23" s="49" t="s">
        <v>44</v>
      </c>
      <c r="C23" s="117"/>
    </row>
    <row r="24" spans="1:3" ht="15.75" thickBot="1" x14ac:dyDescent="0.3">
      <c r="A24" s="53"/>
      <c r="B24" s="54"/>
      <c r="C24" s="55"/>
    </row>
    <row r="25" spans="1:3" ht="23.25" x14ac:dyDescent="0.35">
      <c r="A25" s="53"/>
      <c r="B25" s="50" t="s">
        <v>34</v>
      </c>
      <c r="C25" s="55"/>
    </row>
    <row r="26" spans="1:3" x14ac:dyDescent="0.25">
      <c r="A26" s="53"/>
      <c r="B26" s="51"/>
      <c r="C26" s="55"/>
    </row>
    <row r="27" spans="1:3" x14ac:dyDescent="0.25">
      <c r="A27" s="53"/>
      <c r="B27" s="51"/>
      <c r="C27" s="55"/>
    </row>
    <row r="28" spans="1:3" x14ac:dyDescent="0.25">
      <c r="A28" s="53"/>
      <c r="B28" s="51"/>
      <c r="C28" s="55"/>
    </row>
    <row r="29" spans="1:3" x14ac:dyDescent="0.25">
      <c r="A29" s="53"/>
      <c r="B29" s="51"/>
      <c r="C29" s="55"/>
    </row>
    <row r="30" spans="1:3" x14ac:dyDescent="0.25">
      <c r="A30" s="53"/>
      <c r="B30" s="51"/>
      <c r="C30" s="55"/>
    </row>
    <row r="31" spans="1:3" x14ac:dyDescent="0.25">
      <c r="A31" s="53"/>
      <c r="B31" s="51"/>
      <c r="C31" s="55"/>
    </row>
    <row r="32" spans="1:3" ht="15.75" thickBot="1" x14ac:dyDescent="0.3">
      <c r="A32" s="53"/>
      <c r="B32" s="52"/>
      <c r="C32" s="55"/>
    </row>
    <row r="33" spans="1:3" ht="15.75" thickBot="1" x14ac:dyDescent="0.3">
      <c r="A33" s="95"/>
      <c r="B33" s="96"/>
      <c r="C33" s="58"/>
    </row>
  </sheetData>
  <sheetProtection password="CBEB" sheet="1" objects="1" scenarios="1"/>
  <mergeCells count="6">
    <mergeCell ref="A1:C1"/>
    <mergeCell ref="A2:C3"/>
    <mergeCell ref="C5:C10"/>
    <mergeCell ref="C17:C20"/>
    <mergeCell ref="C22:C23"/>
    <mergeCell ref="C12:C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OptionButton12">
          <controlPr defaultSize="0" autoLine="0" r:id="rId5">
            <anchor moveWithCells="1">
              <from>
                <xdr:col>1</xdr:col>
                <xdr:colOff>2619375</xdr:colOff>
                <xdr:row>16</xdr:row>
                <xdr:rowOff>85725</xdr:rowOff>
              </from>
              <to>
                <xdr:col>1</xdr:col>
                <xdr:colOff>2743200</xdr:colOff>
                <xdr:row>16</xdr:row>
                <xdr:rowOff>228600</xdr:rowOff>
              </to>
            </anchor>
          </controlPr>
        </control>
      </mc:Choice>
      <mc:Fallback>
        <control shapeId="7180" r:id="rId4" name="OptionButton12"/>
      </mc:Fallback>
    </mc:AlternateContent>
    <mc:AlternateContent xmlns:mc="http://schemas.openxmlformats.org/markup-compatibility/2006">
      <mc:Choice Requires="x14">
        <control shapeId="7179" r:id="rId6" name="OptionButton11">
          <controlPr defaultSize="0" autoLine="0" r:id="rId7">
            <anchor moveWithCells="1">
              <from>
                <xdr:col>1</xdr:col>
                <xdr:colOff>714375</xdr:colOff>
                <xdr:row>16</xdr:row>
                <xdr:rowOff>85725</xdr:rowOff>
              </from>
              <to>
                <xdr:col>1</xdr:col>
                <xdr:colOff>838200</xdr:colOff>
                <xdr:row>16</xdr:row>
                <xdr:rowOff>228600</xdr:rowOff>
              </to>
            </anchor>
          </controlPr>
        </control>
      </mc:Choice>
      <mc:Fallback>
        <control shapeId="7179" r:id="rId6" name="OptionButton11"/>
      </mc:Fallback>
    </mc:AlternateContent>
    <mc:AlternateContent xmlns:mc="http://schemas.openxmlformats.org/markup-compatibility/2006">
      <mc:Choice Requires="x14">
        <control shapeId="7178" r:id="rId8" name="OptionButton8">
          <controlPr defaultSize="0" autoLine="0" r:id="rId9">
            <anchor moveWithCells="1">
              <from>
                <xdr:col>1</xdr:col>
                <xdr:colOff>1838325</xdr:colOff>
                <xdr:row>19</xdr:row>
                <xdr:rowOff>123825</xdr:rowOff>
              </from>
              <to>
                <xdr:col>1</xdr:col>
                <xdr:colOff>1962150</xdr:colOff>
                <xdr:row>19</xdr:row>
                <xdr:rowOff>266700</xdr:rowOff>
              </to>
            </anchor>
          </controlPr>
        </control>
      </mc:Choice>
      <mc:Fallback>
        <control shapeId="7178" r:id="rId8" name="OptionButton8"/>
      </mc:Fallback>
    </mc:AlternateContent>
    <mc:AlternateContent xmlns:mc="http://schemas.openxmlformats.org/markup-compatibility/2006">
      <mc:Choice Requires="x14">
        <control shapeId="7177" r:id="rId10" name="OptionButton7">
          <controlPr defaultSize="0" autoLine="0" r:id="rId11">
            <anchor moveWithCells="1">
              <from>
                <xdr:col>1</xdr:col>
                <xdr:colOff>3448050</xdr:colOff>
                <xdr:row>19</xdr:row>
                <xdr:rowOff>123825</xdr:rowOff>
              </from>
              <to>
                <xdr:col>1</xdr:col>
                <xdr:colOff>3571875</xdr:colOff>
                <xdr:row>19</xdr:row>
                <xdr:rowOff>266700</xdr:rowOff>
              </to>
            </anchor>
          </controlPr>
        </control>
      </mc:Choice>
      <mc:Fallback>
        <control shapeId="7177" r:id="rId10" name="OptionButton7"/>
      </mc:Fallback>
    </mc:AlternateContent>
    <mc:AlternateContent xmlns:mc="http://schemas.openxmlformats.org/markup-compatibility/2006">
      <mc:Choice Requires="x14">
        <control shapeId="7176" r:id="rId12" name="OptionButton6">
          <controlPr defaultSize="0" autoLine="0" r:id="rId13">
            <anchor moveWithCells="1">
              <from>
                <xdr:col>1</xdr:col>
                <xdr:colOff>2647950</xdr:colOff>
                <xdr:row>19</xdr:row>
                <xdr:rowOff>123825</xdr:rowOff>
              </from>
              <to>
                <xdr:col>1</xdr:col>
                <xdr:colOff>2771775</xdr:colOff>
                <xdr:row>19</xdr:row>
                <xdr:rowOff>266700</xdr:rowOff>
              </to>
            </anchor>
          </controlPr>
        </control>
      </mc:Choice>
      <mc:Fallback>
        <control shapeId="7176" r:id="rId12" name="OptionButton6"/>
      </mc:Fallback>
    </mc:AlternateContent>
    <mc:AlternateContent xmlns:mc="http://schemas.openxmlformats.org/markup-compatibility/2006">
      <mc:Choice Requires="x14">
        <control shapeId="7175" r:id="rId14" name="OptionButton5">
          <controlPr defaultSize="0" autoLine="0" r:id="rId15">
            <anchor moveWithCells="1">
              <from>
                <xdr:col>1</xdr:col>
                <xdr:colOff>714375</xdr:colOff>
                <xdr:row>19</xdr:row>
                <xdr:rowOff>123825</xdr:rowOff>
              </from>
              <to>
                <xdr:col>1</xdr:col>
                <xdr:colOff>838200</xdr:colOff>
                <xdr:row>19</xdr:row>
                <xdr:rowOff>266700</xdr:rowOff>
              </to>
            </anchor>
          </controlPr>
        </control>
      </mc:Choice>
      <mc:Fallback>
        <control shapeId="7175" r:id="rId14" name="OptionButton5"/>
      </mc:Fallback>
    </mc:AlternateContent>
    <mc:AlternateContent xmlns:mc="http://schemas.openxmlformats.org/markup-compatibility/2006">
      <mc:Choice Requires="x14">
        <control shapeId="7174" r:id="rId16" name="OptionButton4">
          <controlPr defaultSize="0" autoLine="0" r:id="rId17">
            <anchor moveWithCells="1">
              <from>
                <xdr:col>1</xdr:col>
                <xdr:colOff>2638425</xdr:colOff>
                <xdr:row>18</xdr:row>
                <xdr:rowOff>123825</xdr:rowOff>
              </from>
              <to>
                <xdr:col>1</xdr:col>
                <xdr:colOff>2762250</xdr:colOff>
                <xdr:row>18</xdr:row>
                <xdr:rowOff>266700</xdr:rowOff>
              </to>
            </anchor>
          </controlPr>
        </control>
      </mc:Choice>
      <mc:Fallback>
        <control shapeId="7174" r:id="rId16" name="OptionButton4"/>
      </mc:Fallback>
    </mc:AlternateContent>
    <mc:AlternateContent xmlns:mc="http://schemas.openxmlformats.org/markup-compatibility/2006">
      <mc:Choice Requires="x14">
        <control shapeId="7173" r:id="rId18" name="OptionButton3">
          <controlPr defaultSize="0" autoLine="0" r:id="rId19">
            <anchor moveWithCells="1">
              <from>
                <xdr:col>1</xdr:col>
                <xdr:colOff>714375</xdr:colOff>
                <xdr:row>18</xdr:row>
                <xdr:rowOff>123825</xdr:rowOff>
              </from>
              <to>
                <xdr:col>1</xdr:col>
                <xdr:colOff>838200</xdr:colOff>
                <xdr:row>18</xdr:row>
                <xdr:rowOff>266700</xdr:rowOff>
              </to>
            </anchor>
          </controlPr>
        </control>
      </mc:Choice>
      <mc:Fallback>
        <control shapeId="7173" r:id="rId18" name="OptionButton3"/>
      </mc:Fallback>
    </mc:AlternateContent>
    <mc:AlternateContent xmlns:mc="http://schemas.openxmlformats.org/markup-compatibility/2006">
      <mc:Choice Requires="x14">
        <control shapeId="7172" r:id="rId20" name="OptionButton2">
          <controlPr defaultSize="0" autoLine="0" r:id="rId21">
            <anchor moveWithCells="1">
              <from>
                <xdr:col>1</xdr:col>
                <xdr:colOff>2628900</xdr:colOff>
                <xdr:row>17</xdr:row>
                <xdr:rowOff>123825</xdr:rowOff>
              </from>
              <to>
                <xdr:col>1</xdr:col>
                <xdr:colOff>2752725</xdr:colOff>
                <xdr:row>17</xdr:row>
                <xdr:rowOff>266700</xdr:rowOff>
              </to>
            </anchor>
          </controlPr>
        </control>
      </mc:Choice>
      <mc:Fallback>
        <control shapeId="7172" r:id="rId20" name="OptionButton2"/>
      </mc:Fallback>
    </mc:AlternateContent>
    <mc:AlternateContent xmlns:mc="http://schemas.openxmlformats.org/markup-compatibility/2006">
      <mc:Choice Requires="x14">
        <control shapeId="7171" r:id="rId22" name="OptionButton1">
          <controlPr defaultSize="0" autoLine="0" r:id="rId23">
            <anchor moveWithCells="1">
              <from>
                <xdr:col>1</xdr:col>
                <xdr:colOff>714375</xdr:colOff>
                <xdr:row>17</xdr:row>
                <xdr:rowOff>123825</xdr:rowOff>
              </from>
              <to>
                <xdr:col>1</xdr:col>
                <xdr:colOff>838200</xdr:colOff>
                <xdr:row>17</xdr:row>
                <xdr:rowOff>266700</xdr:rowOff>
              </to>
            </anchor>
          </controlPr>
        </control>
      </mc:Choice>
      <mc:Fallback>
        <control shapeId="7171" r:id="rId22" name="OptionButton1"/>
      </mc:Fallback>
    </mc:AlternateContent>
    <mc:AlternateContent xmlns:mc="http://schemas.openxmlformats.org/markup-compatibility/2006">
      <mc:Choice Requires="x14">
        <control shapeId="7170" r:id="rId24" name="CommandButton22">
          <controlPr defaultSize="0" autoFill="0" autoLine="0" r:id="rId25">
            <anchor moveWithCells="1">
              <from>
                <xdr:col>1</xdr:col>
                <xdr:colOff>3238500</xdr:colOff>
                <xdr:row>25</xdr:row>
                <xdr:rowOff>171450</xdr:rowOff>
              </from>
              <to>
                <xdr:col>1</xdr:col>
                <xdr:colOff>4381500</xdr:colOff>
                <xdr:row>29</xdr:row>
                <xdr:rowOff>47625</xdr:rowOff>
              </to>
            </anchor>
          </controlPr>
        </control>
      </mc:Choice>
      <mc:Fallback>
        <control shapeId="7170" r:id="rId24" name="CommandButton22"/>
      </mc:Fallback>
    </mc:AlternateContent>
    <mc:AlternateContent xmlns:mc="http://schemas.openxmlformats.org/markup-compatibility/2006">
      <mc:Choice Requires="x14">
        <control shapeId="7169" r:id="rId26" name="CommandButton21">
          <controlPr defaultSize="0" autoFill="0" autoLine="0" r:id="rId27">
            <anchor moveWithCells="1">
              <from>
                <xdr:col>1</xdr:col>
                <xdr:colOff>1428750</xdr:colOff>
                <xdr:row>25</xdr:row>
                <xdr:rowOff>180975</xdr:rowOff>
              </from>
              <to>
                <xdr:col>1</xdr:col>
                <xdr:colOff>2657475</xdr:colOff>
                <xdr:row>29</xdr:row>
                <xdr:rowOff>57150</xdr:rowOff>
              </to>
            </anchor>
          </controlPr>
        </control>
      </mc:Choice>
      <mc:Fallback>
        <control shapeId="7169" r:id="rId26" name="CommandButton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  <pageSetUpPr fitToPage="1"/>
  </sheetPr>
  <dimension ref="A1:X75"/>
  <sheetViews>
    <sheetView topLeftCell="A7" zoomScale="70" zoomScaleNormal="70" workbookViewId="0">
      <selection activeCell="D63" sqref="D63"/>
    </sheetView>
  </sheetViews>
  <sheetFormatPr baseColWidth="10" defaultRowHeight="15" x14ac:dyDescent="0.25"/>
  <cols>
    <col min="1" max="1" width="44" style="1" customWidth="1"/>
    <col min="2" max="3" width="11.42578125" style="1"/>
    <col min="4" max="4" width="11.42578125" style="1" customWidth="1"/>
    <col min="5" max="7" width="11.42578125" style="1"/>
    <col min="8" max="8" width="15.28515625" style="1" customWidth="1"/>
    <col min="9" max="9" width="11.42578125" style="1"/>
    <col min="10" max="10" width="14.140625" style="1" customWidth="1"/>
    <col min="11" max="11" width="18.42578125" style="1" customWidth="1"/>
    <col min="12" max="12" width="14.140625" style="1" customWidth="1"/>
    <col min="13" max="16384" width="11.42578125" style="1"/>
  </cols>
  <sheetData>
    <row r="1" spans="1:24" ht="18.75" x14ac:dyDescent="0.3">
      <c r="A1" s="35"/>
      <c r="B1" s="5"/>
      <c r="C1" s="5"/>
      <c r="D1" s="5"/>
      <c r="E1" s="5"/>
      <c r="F1" s="5"/>
      <c r="G1" s="5"/>
      <c r="H1" s="5"/>
      <c r="I1" s="5"/>
      <c r="J1" s="3">
        <f>'RETRO PLANNING - Paramètres'!B5</f>
        <v>0</v>
      </c>
      <c r="K1" s="5"/>
      <c r="L1" s="5"/>
      <c r="M1" s="5"/>
      <c r="N1" s="5"/>
      <c r="O1" s="5"/>
      <c r="P1" s="5"/>
      <c r="Q1" s="5"/>
      <c r="R1" s="5"/>
      <c r="S1" s="5"/>
      <c r="T1" s="38" t="s">
        <v>91</v>
      </c>
      <c r="U1" s="5">
        <f>'RETRO PLANNING - Paramètres'!B9</f>
        <v>0</v>
      </c>
      <c r="V1" s="5"/>
      <c r="W1" s="5"/>
      <c r="X1" s="39"/>
    </row>
    <row r="2" spans="1:24" x14ac:dyDescent="0.25">
      <c r="A2" s="3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40" t="s">
        <v>3</v>
      </c>
      <c r="U2" s="6">
        <f>'RETRO PLANNING - Paramètres'!B10</f>
        <v>0</v>
      </c>
      <c r="V2" s="6"/>
      <c r="W2" s="6"/>
      <c r="X2" s="41"/>
    </row>
    <row r="3" spans="1:24" x14ac:dyDescent="0.25">
      <c r="A3" s="36"/>
      <c r="B3" s="6"/>
      <c r="C3" s="6"/>
      <c r="D3" s="6"/>
      <c r="E3" s="6"/>
      <c r="F3" s="6"/>
      <c r="G3" s="6"/>
      <c r="H3" s="6"/>
      <c r="I3" s="6"/>
      <c r="J3" s="40" t="s">
        <v>90</v>
      </c>
      <c r="K3" s="6"/>
      <c r="L3" s="24" t="str">
        <f>'RETRO PLANNING - Paramètres'!B7</f>
        <v>*</v>
      </c>
      <c r="M3" s="6"/>
      <c r="N3" s="6"/>
      <c r="O3" s="6"/>
      <c r="P3" s="6"/>
      <c r="Q3" s="6"/>
      <c r="R3" s="6"/>
      <c r="S3" s="6"/>
      <c r="T3" s="40" t="s">
        <v>4</v>
      </c>
      <c r="U3" s="6">
        <f>'RETRO PLANNING - Paramètres'!B6</f>
        <v>0</v>
      </c>
      <c r="V3" s="6"/>
      <c r="W3" s="6"/>
      <c r="X3" s="41"/>
    </row>
    <row r="4" spans="1:24" x14ac:dyDescent="0.25">
      <c r="A4" s="36"/>
      <c r="B4" s="6"/>
      <c r="C4" s="6"/>
      <c r="D4" s="6"/>
      <c r="E4" s="6"/>
      <c r="F4" s="6"/>
      <c r="G4" s="6"/>
      <c r="H4" s="6"/>
      <c r="I4" s="6"/>
      <c r="J4" s="40" t="s">
        <v>56</v>
      </c>
      <c r="K4" s="4"/>
      <c r="L4" s="26" t="str">
        <f>'RETRO PLANNING - Paramètres'!B8</f>
        <v>*</v>
      </c>
      <c r="M4" s="6"/>
      <c r="N4" s="6"/>
      <c r="O4" s="6"/>
      <c r="P4" s="6"/>
      <c r="Q4" s="6"/>
      <c r="R4" s="6"/>
      <c r="S4" s="6"/>
      <c r="T4" s="40"/>
      <c r="U4" s="6"/>
      <c r="V4" s="6"/>
      <c r="W4" s="6"/>
      <c r="X4" s="41"/>
    </row>
    <row r="5" spans="1:24" x14ac:dyDescent="0.25">
      <c r="A5" s="36"/>
      <c r="B5" s="6"/>
      <c r="C5" s="6"/>
      <c r="D5" s="6"/>
      <c r="E5" s="6"/>
      <c r="F5" s="6"/>
      <c r="G5" s="6"/>
      <c r="H5" s="6"/>
      <c r="I5" s="6"/>
      <c r="J5" s="40" t="s">
        <v>5</v>
      </c>
      <c r="K5" s="6"/>
      <c r="L5" s="7" t="str">
        <f>'RETRO PLANNING - Paramètres'!B12</f>
        <v>*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41"/>
    </row>
    <row r="6" spans="1:24" ht="15.75" thickBot="1" x14ac:dyDescent="0.3">
      <c r="A6" s="37" t="s">
        <v>105</v>
      </c>
      <c r="B6" s="45"/>
      <c r="C6" s="6"/>
      <c r="D6" s="6"/>
      <c r="E6" s="6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 t="s">
        <v>6</v>
      </c>
      <c r="U6" s="8">
        <f ca="1">'RETRO PLANNING - Paramètres'!B15</f>
        <v>43480</v>
      </c>
      <c r="V6" s="43"/>
      <c r="W6" s="43"/>
      <c r="X6" s="44"/>
    </row>
    <row r="7" spans="1:24" ht="30.75" thickBot="1" x14ac:dyDescent="0.3">
      <c r="A7" s="27" t="s">
        <v>7</v>
      </c>
      <c r="B7" s="28" t="s">
        <v>8</v>
      </c>
      <c r="C7" s="29" t="s">
        <v>28</v>
      </c>
      <c r="D7" s="30" t="s">
        <v>27</v>
      </c>
      <c r="E7" s="28" t="s">
        <v>9</v>
      </c>
    </row>
    <row r="8" spans="1:24" ht="15.75" thickBot="1" x14ac:dyDescent="0.3">
      <c r="A8" s="31" t="s">
        <v>10</v>
      </c>
      <c r="B8" s="9" t="e">
        <f>EDATE(E8,-D8)</f>
        <v>#VALUE!</v>
      </c>
      <c r="C8" s="10" t="e">
        <f>IF(D8="0",C8="1",DATEDIF(B8,E8,"d"))</f>
        <v>#VALUE!</v>
      </c>
      <c r="D8" s="11">
        <f>SUM(D9:D14)</f>
        <v>13</v>
      </c>
      <c r="E8" s="18" t="e">
        <f>B25</f>
        <v>#VALUE!</v>
      </c>
    </row>
    <row r="9" spans="1:24" x14ac:dyDescent="0.25">
      <c r="A9" s="32" t="s">
        <v>24</v>
      </c>
      <c r="B9" s="12" t="e">
        <f>B8</f>
        <v>#VALUE!</v>
      </c>
      <c r="C9" s="13">
        <f t="shared" ref="C9:C66" si="0">IF(D9=0, 1,DATEDIF(B9,E9,"d"))</f>
        <v>1</v>
      </c>
      <c r="D9" s="19">
        <v>0</v>
      </c>
      <c r="E9" s="12" t="e">
        <f>B10</f>
        <v>#VALUE!</v>
      </c>
    </row>
    <row r="10" spans="1:24" x14ac:dyDescent="0.25">
      <c r="A10" s="32" t="s">
        <v>25</v>
      </c>
      <c r="B10" s="12" t="e">
        <f>EDATE(E10,-D10)</f>
        <v>#VALUE!</v>
      </c>
      <c r="C10" s="13" t="e">
        <f t="shared" si="0"/>
        <v>#VALUE!</v>
      </c>
      <c r="D10" s="2">
        <v>3</v>
      </c>
      <c r="E10" s="12" t="e">
        <f t="shared" ref="E10:E36" si="1">B11</f>
        <v>#VALUE!</v>
      </c>
    </row>
    <row r="11" spans="1:24" x14ac:dyDescent="0.25">
      <c r="A11" s="32" t="s">
        <v>86</v>
      </c>
      <c r="B11" s="12" t="e">
        <f t="shared" ref="B11:B38" si="2">EDATE(E11,-D11)</f>
        <v>#VALUE!</v>
      </c>
      <c r="C11" s="13" t="e">
        <f t="shared" si="0"/>
        <v>#VALUE!</v>
      </c>
      <c r="D11" s="2">
        <v>2</v>
      </c>
      <c r="E11" s="12" t="e">
        <f>B12</f>
        <v>#VALUE!</v>
      </c>
    </row>
    <row r="12" spans="1:24" x14ac:dyDescent="0.25">
      <c r="A12" s="33" t="s">
        <v>23</v>
      </c>
      <c r="B12" s="12" t="e">
        <f t="shared" si="2"/>
        <v>#VALUE!</v>
      </c>
      <c r="C12" s="13">
        <f t="shared" si="0"/>
        <v>1</v>
      </c>
      <c r="D12" s="13">
        <v>0</v>
      </c>
      <c r="E12" s="12" t="e">
        <f t="shared" si="1"/>
        <v>#VALUE!</v>
      </c>
    </row>
    <row r="13" spans="1:24" x14ac:dyDescent="0.25">
      <c r="A13" s="32" t="s">
        <v>78</v>
      </c>
      <c r="B13" s="12" t="e">
        <f t="shared" si="2"/>
        <v>#VALUE!</v>
      </c>
      <c r="C13" s="13" t="e">
        <f t="shared" si="0"/>
        <v>#VALUE!</v>
      </c>
      <c r="D13" s="13">
        <f>IF(L4&gt;=15000000,3,IF(L4&gt;=1000000,2,IF(L4&lt;=500000,1,0)))</f>
        <v>3</v>
      </c>
      <c r="E13" s="12" t="e">
        <f t="shared" si="1"/>
        <v>#VALUE!</v>
      </c>
    </row>
    <row r="14" spans="1:24" x14ac:dyDescent="0.25">
      <c r="A14" s="32" t="s">
        <v>11</v>
      </c>
      <c r="B14" s="12" t="e">
        <f t="shared" si="2"/>
        <v>#VALUE!</v>
      </c>
      <c r="C14" s="13" t="e">
        <f t="shared" si="0"/>
        <v>#VALUE!</v>
      </c>
      <c r="D14" s="2">
        <v>5</v>
      </c>
      <c r="E14" s="12" t="e">
        <f>E8</f>
        <v>#VALUE!</v>
      </c>
    </row>
    <row r="15" spans="1:24" x14ac:dyDescent="0.25">
      <c r="A15" s="31" t="s">
        <v>19</v>
      </c>
      <c r="B15" s="9" t="e">
        <f>B16</f>
        <v>#VALUE!</v>
      </c>
      <c r="C15" s="14" t="e">
        <f t="shared" si="0"/>
        <v>#VALUE!</v>
      </c>
      <c r="D15" s="14" t="e">
        <f>DATEDIF(B15,E15,"m")</f>
        <v>#VALUE!</v>
      </c>
      <c r="E15" s="9" t="str">
        <f>E41</f>
        <v>*</v>
      </c>
    </row>
    <row r="16" spans="1:24" x14ac:dyDescent="0.25">
      <c r="A16" s="32" t="s">
        <v>12</v>
      </c>
      <c r="B16" s="12" t="e">
        <f t="shared" si="2"/>
        <v>#VALUE!</v>
      </c>
      <c r="C16" s="13">
        <f t="shared" si="0"/>
        <v>1</v>
      </c>
      <c r="D16" s="13">
        <v>0</v>
      </c>
      <c r="E16" s="12" t="e">
        <f>B17</f>
        <v>#VALUE!</v>
      </c>
    </row>
    <row r="17" spans="1:5" x14ac:dyDescent="0.25">
      <c r="A17" s="33" t="s">
        <v>81</v>
      </c>
      <c r="B17" s="12" t="e">
        <f>EDATE(E17,-D17)</f>
        <v>#VALUE!</v>
      </c>
      <c r="C17" s="13">
        <f t="shared" si="0"/>
        <v>1</v>
      </c>
      <c r="D17" s="13">
        <v>0</v>
      </c>
      <c r="E17" s="12" t="e">
        <f>B18</f>
        <v>#VALUE!</v>
      </c>
    </row>
    <row r="18" spans="1:5" x14ac:dyDescent="0.25">
      <c r="A18" s="32" t="s">
        <v>72</v>
      </c>
      <c r="B18" s="12" t="e">
        <f t="shared" si="2"/>
        <v>#VALUE!</v>
      </c>
      <c r="C18" s="13">
        <f t="shared" si="0"/>
        <v>1</v>
      </c>
      <c r="D18" s="13">
        <v>0</v>
      </c>
      <c r="E18" s="12" t="e">
        <f t="shared" si="1"/>
        <v>#VALUE!</v>
      </c>
    </row>
    <row r="19" spans="1:5" x14ac:dyDescent="0.25">
      <c r="A19" s="32" t="s">
        <v>73</v>
      </c>
      <c r="B19" s="12" t="e">
        <f t="shared" si="2"/>
        <v>#VALUE!</v>
      </c>
      <c r="C19" s="13" t="e">
        <f t="shared" si="0"/>
        <v>#VALUE!</v>
      </c>
      <c r="D19" s="2">
        <v>2</v>
      </c>
      <c r="E19" s="12" t="e">
        <f>B25</f>
        <v>#VALUE!</v>
      </c>
    </row>
    <row r="20" spans="1:5" ht="15.75" thickBot="1" x14ac:dyDescent="0.3">
      <c r="A20" s="33" t="s">
        <v>77</v>
      </c>
      <c r="B20" s="12" t="e">
        <f>B24</f>
        <v>#VALUE!</v>
      </c>
      <c r="C20" s="13" t="e">
        <f>DATEDIF(B20,E20,"d")</f>
        <v>#VALUE!</v>
      </c>
      <c r="D20" s="13">
        <v>0</v>
      </c>
      <c r="E20" s="12" t="str">
        <f>E15</f>
        <v>*</v>
      </c>
    </row>
    <row r="21" spans="1:5" ht="15.75" thickBot="1" x14ac:dyDescent="0.3">
      <c r="A21" s="31" t="s">
        <v>13</v>
      </c>
      <c r="B21" s="9" t="e">
        <f>B22</f>
        <v>#VALUE!</v>
      </c>
      <c r="C21" s="14" t="e">
        <f t="shared" si="0"/>
        <v>#VALUE!</v>
      </c>
      <c r="D21" s="11" t="e">
        <f>DATEDIF(B21,E21,"m")</f>
        <v>#VALUE!</v>
      </c>
      <c r="E21" s="9" t="e">
        <f>E24</f>
        <v>#VALUE!</v>
      </c>
    </row>
    <row r="22" spans="1:5" x14ac:dyDescent="0.25">
      <c r="A22" s="33" t="s">
        <v>74</v>
      </c>
      <c r="B22" s="12" t="e">
        <f>EDATE(B8,12)</f>
        <v>#VALUE!</v>
      </c>
      <c r="C22" s="13">
        <f t="shared" si="0"/>
        <v>1</v>
      </c>
      <c r="D22" s="13">
        <v>0</v>
      </c>
      <c r="E22" s="12" t="e">
        <f t="shared" si="1"/>
        <v>#VALUE!</v>
      </c>
    </row>
    <row r="23" spans="1:5" x14ac:dyDescent="0.25">
      <c r="A23" s="33" t="s">
        <v>75</v>
      </c>
      <c r="B23" s="12" t="e">
        <f>EDATE(B8,24)</f>
        <v>#VALUE!</v>
      </c>
      <c r="C23" s="13">
        <f t="shared" si="0"/>
        <v>1</v>
      </c>
      <c r="D23" s="13">
        <v>0</v>
      </c>
      <c r="E23" s="12" t="e">
        <f t="shared" si="1"/>
        <v>#VALUE!</v>
      </c>
    </row>
    <row r="24" spans="1:5" ht="15.75" thickBot="1" x14ac:dyDescent="0.3">
      <c r="A24" s="33" t="s">
        <v>14</v>
      </c>
      <c r="B24" s="12" t="e">
        <f>EDATE(B52,-3)</f>
        <v>#VALUE!</v>
      </c>
      <c r="C24" s="13">
        <f t="shared" si="0"/>
        <v>1</v>
      </c>
      <c r="D24" s="15">
        <v>0</v>
      </c>
      <c r="E24" s="12" t="e">
        <f>B24</f>
        <v>#VALUE!</v>
      </c>
    </row>
    <row r="25" spans="1:5" ht="15.75" thickBot="1" x14ac:dyDescent="0.3">
      <c r="A25" s="31" t="s">
        <v>15</v>
      </c>
      <c r="B25" s="9" t="e">
        <f t="shared" si="2"/>
        <v>#VALUE!</v>
      </c>
      <c r="C25" s="10" t="e">
        <f t="shared" si="0"/>
        <v>#VALUE!</v>
      </c>
      <c r="D25" s="11">
        <f>SUM(D26:D31)</f>
        <v>14</v>
      </c>
      <c r="E25" s="18" t="e">
        <f>B32</f>
        <v>#VALUE!</v>
      </c>
    </row>
    <row r="26" spans="1:5" x14ac:dyDescent="0.25">
      <c r="A26" s="33" t="s">
        <v>82</v>
      </c>
      <c r="B26" s="12" t="e">
        <f t="shared" si="2"/>
        <v>#VALUE!</v>
      </c>
      <c r="C26" s="13" t="e">
        <f t="shared" si="0"/>
        <v>#VALUE!</v>
      </c>
      <c r="D26" s="2">
        <v>1</v>
      </c>
      <c r="E26" s="12" t="e">
        <f>B27</f>
        <v>#VALUE!</v>
      </c>
    </row>
    <row r="27" spans="1:5" x14ac:dyDescent="0.25">
      <c r="A27" s="32" t="s">
        <v>76</v>
      </c>
      <c r="B27" s="12" t="e">
        <f t="shared" si="2"/>
        <v>#VALUE!</v>
      </c>
      <c r="C27" s="13">
        <f t="shared" si="0"/>
        <v>1</v>
      </c>
      <c r="D27" s="19">
        <v>0</v>
      </c>
      <c r="E27" s="12" t="e">
        <f t="shared" si="1"/>
        <v>#VALUE!</v>
      </c>
    </row>
    <row r="28" spans="1:5" x14ac:dyDescent="0.25">
      <c r="A28" s="32" t="s">
        <v>40</v>
      </c>
      <c r="B28" s="12" t="e">
        <f t="shared" si="2"/>
        <v>#VALUE!</v>
      </c>
      <c r="C28" s="13" t="e">
        <f t="shared" si="0"/>
        <v>#VALUE!</v>
      </c>
      <c r="D28" s="2">
        <v>8</v>
      </c>
      <c r="E28" s="12" t="e">
        <f t="shared" si="1"/>
        <v>#VALUE!</v>
      </c>
    </row>
    <row r="29" spans="1:5" x14ac:dyDescent="0.25">
      <c r="A29" s="32" t="s">
        <v>84</v>
      </c>
      <c r="B29" s="12" t="e">
        <f t="shared" si="2"/>
        <v>#VALUE!</v>
      </c>
      <c r="C29" s="13" t="e">
        <f t="shared" si="0"/>
        <v>#VALUE!</v>
      </c>
      <c r="D29" s="2">
        <v>2</v>
      </c>
      <c r="E29" s="12" t="e">
        <f>B30</f>
        <v>#VALUE!</v>
      </c>
    </row>
    <row r="30" spans="1:5" x14ac:dyDescent="0.25">
      <c r="A30" s="33" t="s">
        <v>23</v>
      </c>
      <c r="B30" s="12" t="e">
        <f>EDATE(E30,-D30)</f>
        <v>#VALUE!</v>
      </c>
      <c r="C30" s="13">
        <f t="shared" si="0"/>
        <v>1</v>
      </c>
      <c r="D30" s="13">
        <v>0</v>
      </c>
      <c r="E30" s="12" t="e">
        <f>B31</f>
        <v>#VALUE!</v>
      </c>
    </row>
    <row r="31" spans="1:5" ht="15.75" thickBot="1" x14ac:dyDescent="0.3">
      <c r="A31" s="32" t="s">
        <v>78</v>
      </c>
      <c r="B31" s="12" t="e">
        <f t="shared" si="2"/>
        <v>#VALUE!</v>
      </c>
      <c r="C31" s="13" t="e">
        <f t="shared" si="0"/>
        <v>#VALUE!</v>
      </c>
      <c r="D31" s="15">
        <f>IF(L4&gt;=15000000,3,IF(L4&gt;=1000000,2,IF(L4&lt;=500000,1,0)))</f>
        <v>3</v>
      </c>
      <c r="E31" s="12" t="e">
        <f>E25</f>
        <v>#VALUE!</v>
      </c>
    </row>
    <row r="32" spans="1:5" ht="15.75" thickBot="1" x14ac:dyDescent="0.3">
      <c r="A32" s="31" t="s">
        <v>16</v>
      </c>
      <c r="B32" s="9" t="e">
        <f t="shared" si="2"/>
        <v>#VALUE!</v>
      </c>
      <c r="C32" s="10" t="e">
        <f t="shared" si="0"/>
        <v>#VALUE!</v>
      </c>
      <c r="D32" s="11">
        <f>SUM(D33:D38)</f>
        <v>13</v>
      </c>
      <c r="E32" s="18" t="e">
        <f>B39</f>
        <v>#VALUE!</v>
      </c>
    </row>
    <row r="33" spans="1:5" x14ac:dyDescent="0.25">
      <c r="A33" s="33" t="s">
        <v>82</v>
      </c>
      <c r="B33" s="12" t="e">
        <f t="shared" si="2"/>
        <v>#VALUE!</v>
      </c>
      <c r="C33" s="13" t="e">
        <f t="shared" si="0"/>
        <v>#VALUE!</v>
      </c>
      <c r="D33" s="2">
        <v>1</v>
      </c>
      <c r="E33" s="12" t="e">
        <f>B34</f>
        <v>#VALUE!</v>
      </c>
    </row>
    <row r="34" spans="1:5" x14ac:dyDescent="0.25">
      <c r="A34" s="32" t="s">
        <v>76</v>
      </c>
      <c r="B34" s="12" t="e">
        <f t="shared" si="2"/>
        <v>#VALUE!</v>
      </c>
      <c r="C34" s="13">
        <f t="shared" si="0"/>
        <v>1</v>
      </c>
      <c r="D34" s="19">
        <v>0</v>
      </c>
      <c r="E34" s="12" t="e">
        <f>B35</f>
        <v>#VALUE!</v>
      </c>
    </row>
    <row r="35" spans="1:5" x14ac:dyDescent="0.25">
      <c r="A35" s="32" t="s">
        <v>40</v>
      </c>
      <c r="B35" s="12" t="e">
        <f t="shared" si="2"/>
        <v>#VALUE!</v>
      </c>
      <c r="C35" s="13" t="e">
        <f t="shared" si="0"/>
        <v>#VALUE!</v>
      </c>
      <c r="D35" s="2">
        <v>7</v>
      </c>
      <c r="E35" s="12" t="e">
        <f t="shared" si="1"/>
        <v>#VALUE!</v>
      </c>
    </row>
    <row r="36" spans="1:5" x14ac:dyDescent="0.25">
      <c r="A36" s="32" t="s">
        <v>85</v>
      </c>
      <c r="B36" s="12" t="e">
        <f t="shared" si="2"/>
        <v>#VALUE!</v>
      </c>
      <c r="C36" s="13" t="e">
        <f t="shared" si="0"/>
        <v>#VALUE!</v>
      </c>
      <c r="D36" s="2">
        <v>2</v>
      </c>
      <c r="E36" s="12" t="e">
        <f t="shared" si="1"/>
        <v>#VALUE!</v>
      </c>
    </row>
    <row r="37" spans="1:5" x14ac:dyDescent="0.25">
      <c r="A37" s="33" t="s">
        <v>23</v>
      </c>
      <c r="B37" s="12" t="e">
        <f t="shared" si="2"/>
        <v>#VALUE!</v>
      </c>
      <c r="C37" s="13">
        <f t="shared" si="0"/>
        <v>1</v>
      </c>
      <c r="D37" s="34">
        <v>0</v>
      </c>
      <c r="E37" s="12" t="e">
        <f>B38</f>
        <v>#VALUE!</v>
      </c>
    </row>
    <row r="38" spans="1:5" ht="15.75" thickBot="1" x14ac:dyDescent="0.3">
      <c r="A38" s="32" t="s">
        <v>78</v>
      </c>
      <c r="B38" s="12" t="e">
        <f t="shared" si="2"/>
        <v>#VALUE!</v>
      </c>
      <c r="C38" s="13" t="e">
        <f t="shared" si="0"/>
        <v>#VALUE!</v>
      </c>
      <c r="D38" s="15">
        <f>IF(L4&gt;=15000000,3,IF(L4&gt;=1000000,2,IF(L4&lt;=500000,1,0)))</f>
        <v>3</v>
      </c>
      <c r="E38" s="12" t="e">
        <f>E32</f>
        <v>#VALUE!</v>
      </c>
    </row>
    <row r="39" spans="1:5" ht="15.75" thickBot="1" x14ac:dyDescent="0.3">
      <c r="A39" s="31" t="s">
        <v>17</v>
      </c>
      <c r="B39" s="9" t="e">
        <f>B40</f>
        <v>#VALUE!</v>
      </c>
      <c r="C39" s="10" t="e">
        <f>IF(D39=0, 1,DATEDIF(B39,E39,"d"))</f>
        <v>#VALUE!</v>
      </c>
      <c r="D39" s="11">
        <f>SUM(D41,D52,D66)</f>
        <v>27.698333333333331</v>
      </c>
      <c r="E39" s="18" t="e">
        <f>E66</f>
        <v>#VALUE!</v>
      </c>
    </row>
    <row r="40" spans="1:5" ht="15.75" thickBot="1" x14ac:dyDescent="0.3">
      <c r="A40" s="32" t="s">
        <v>24</v>
      </c>
      <c r="B40" s="12" t="e">
        <f>EDATE(E40,-D40)</f>
        <v>#VALUE!</v>
      </c>
      <c r="C40" s="13">
        <f t="shared" ref="C40" si="3">IF(D40=0, 1,DATEDIF(B40,E40,"d"))</f>
        <v>1</v>
      </c>
      <c r="D40" s="19">
        <v>0</v>
      </c>
      <c r="E40" s="12" t="e">
        <f>B41</f>
        <v>#VALUE!</v>
      </c>
    </row>
    <row r="41" spans="1:5" ht="15.75" thickBot="1" x14ac:dyDescent="0.3">
      <c r="A41" s="31" t="s">
        <v>18</v>
      </c>
      <c r="B41" s="9" t="e">
        <f>B42</f>
        <v>#VALUE!</v>
      </c>
      <c r="C41" s="10" t="e">
        <f t="shared" si="0"/>
        <v>#VALUE!</v>
      </c>
      <c r="D41" s="11">
        <f>SUM(D42:D51)</f>
        <v>13.698333333333332</v>
      </c>
      <c r="E41" s="18" t="str">
        <f>B52</f>
        <v>*</v>
      </c>
    </row>
    <row r="42" spans="1:5" x14ac:dyDescent="0.25">
      <c r="A42" s="33" t="s">
        <v>38</v>
      </c>
      <c r="B42" s="12" t="e">
        <f t="shared" ref="B42:B50" si="4">E42-C42</f>
        <v>#VALUE!</v>
      </c>
      <c r="C42" s="13">
        <f>D42*30</f>
        <v>150</v>
      </c>
      <c r="D42" s="2">
        <v>5</v>
      </c>
      <c r="E42" s="12" t="e">
        <f>B43</f>
        <v>#VALUE!</v>
      </c>
    </row>
    <row r="43" spans="1:5" x14ac:dyDescent="0.25">
      <c r="A43" s="33" t="s">
        <v>35</v>
      </c>
      <c r="B43" s="12" t="e">
        <f t="shared" si="4"/>
        <v>#VALUE!</v>
      </c>
      <c r="C43" s="13">
        <f>IF(L3&gt;=5000000,81,IF(L3&gt;=1000000,31,IF(L3&lt;1000000,17,0)))</f>
        <v>81</v>
      </c>
      <c r="D43" s="13">
        <f>C43/30</f>
        <v>2.7</v>
      </c>
      <c r="E43" s="12" t="e">
        <f>B44</f>
        <v>#VALUE!</v>
      </c>
    </row>
    <row r="44" spans="1:5" x14ac:dyDescent="0.25">
      <c r="A44" s="33" t="s">
        <v>41</v>
      </c>
      <c r="B44" s="12" t="e">
        <f t="shared" si="4"/>
        <v>#VALUE!</v>
      </c>
      <c r="C44" s="13">
        <f>D44*30</f>
        <v>15</v>
      </c>
      <c r="D44" s="2">
        <v>0.5</v>
      </c>
      <c r="E44" s="12" t="e">
        <f>B45</f>
        <v>#VALUE!</v>
      </c>
    </row>
    <row r="45" spans="1:5" x14ac:dyDescent="0.25">
      <c r="A45" s="33" t="s">
        <v>36</v>
      </c>
      <c r="B45" s="12" t="e">
        <f t="shared" si="4"/>
        <v>#VALUE!</v>
      </c>
      <c r="C45" s="13">
        <f>D45*30</f>
        <v>15</v>
      </c>
      <c r="D45" s="2">
        <v>0.5</v>
      </c>
      <c r="E45" s="12" t="e">
        <f t="shared" ref="E45:E48" si="5">B46</f>
        <v>#VALUE!</v>
      </c>
    </row>
    <row r="46" spans="1:5" x14ac:dyDescent="0.25">
      <c r="A46" s="33" t="s">
        <v>43</v>
      </c>
      <c r="B46" s="12" t="e">
        <f t="shared" si="4"/>
        <v>#VALUE!</v>
      </c>
      <c r="C46" s="13">
        <f>IF(L3&gt;=5000000,94,IF(L3&gt;=1000000,94,IF(L3&lt;1000000,69,0)))</f>
        <v>94</v>
      </c>
      <c r="D46" s="34">
        <f>C46/30</f>
        <v>3.1333333333333333</v>
      </c>
      <c r="E46" s="12" t="e">
        <f>B47</f>
        <v>#VALUE!</v>
      </c>
    </row>
    <row r="47" spans="1:5" x14ac:dyDescent="0.25">
      <c r="A47" s="33" t="s">
        <v>42</v>
      </c>
      <c r="B47" s="12" t="e">
        <f t="shared" si="4"/>
        <v>#VALUE!</v>
      </c>
      <c r="C47" s="13">
        <f>D47*30</f>
        <v>15</v>
      </c>
      <c r="D47" s="2">
        <v>0.5</v>
      </c>
      <c r="E47" s="12" t="e">
        <f>B48</f>
        <v>#VALUE!</v>
      </c>
    </row>
    <row r="48" spans="1:5" x14ac:dyDescent="0.25">
      <c r="A48" s="33" t="s">
        <v>36</v>
      </c>
      <c r="B48" s="12" t="e">
        <f t="shared" si="4"/>
        <v>#VALUE!</v>
      </c>
      <c r="C48" s="13">
        <f>D48*30</f>
        <v>15</v>
      </c>
      <c r="D48" s="2">
        <v>0.5</v>
      </c>
      <c r="E48" s="12" t="e">
        <f t="shared" si="5"/>
        <v>#VALUE!</v>
      </c>
    </row>
    <row r="49" spans="1:5" x14ac:dyDescent="0.25">
      <c r="A49" s="33" t="s">
        <v>37</v>
      </c>
      <c r="B49" s="12" t="e">
        <f t="shared" si="4"/>
        <v>#VALUE!</v>
      </c>
      <c r="C49" s="13">
        <f>D49*30</f>
        <v>15</v>
      </c>
      <c r="D49" s="13">
        <v>0.5</v>
      </c>
      <c r="E49" s="12" t="e">
        <f>B50</f>
        <v>#VALUE!</v>
      </c>
    </row>
    <row r="50" spans="1:5" x14ac:dyDescent="0.25">
      <c r="A50" s="33" t="s">
        <v>58</v>
      </c>
      <c r="B50" s="12" t="e">
        <f t="shared" si="4"/>
        <v>#VALUE!</v>
      </c>
      <c r="C50" s="13">
        <f>D50*30</f>
        <v>10.95</v>
      </c>
      <c r="D50" s="13">
        <v>0.36499999999999999</v>
      </c>
      <c r="E50" s="12" t="e">
        <f>B51</f>
        <v>#VALUE!</v>
      </c>
    </row>
    <row r="51" spans="1:5" ht="15.75" thickBot="1" x14ac:dyDescent="0.3">
      <c r="A51" s="32" t="s">
        <v>20</v>
      </c>
      <c r="B51" s="12" t="e">
        <f t="shared" ref="B51" si="6">EDATE(E51,-D51)</f>
        <v>#VALUE!</v>
      </c>
      <c r="C51" s="13">
        <f>IF(D51=0, 1,DATEDIF(B51,E51,"d"))</f>
        <v>1</v>
      </c>
      <c r="D51" s="13">
        <v>0</v>
      </c>
      <c r="E51" s="12" t="str">
        <f>E41</f>
        <v>*</v>
      </c>
    </row>
    <row r="52" spans="1:5" ht="15.75" thickBot="1" x14ac:dyDescent="0.3">
      <c r="A52" s="31" t="s">
        <v>21</v>
      </c>
      <c r="B52" s="16" t="str">
        <f>'RETRO PLANNING - Paramètres'!B12</f>
        <v>*</v>
      </c>
      <c r="C52" s="14" t="e">
        <f t="shared" si="0"/>
        <v>#VALUE!</v>
      </c>
      <c r="D52" s="11">
        <f>SUM(D53:D65)</f>
        <v>2</v>
      </c>
      <c r="E52" s="9" t="e">
        <f t="shared" ref="E52:E67" si="7">EDATE(B52,D52)</f>
        <v>#VALUE!</v>
      </c>
    </row>
    <row r="53" spans="1:5" x14ac:dyDescent="0.25">
      <c r="A53" s="33" t="s">
        <v>48</v>
      </c>
      <c r="B53" s="12" t="str">
        <f>B52</f>
        <v>*</v>
      </c>
      <c r="C53" s="13">
        <f>IF(D53=0, 1,DATEDIF(B53,E53,"d"))</f>
        <v>1</v>
      </c>
      <c r="D53" s="13">
        <v>0</v>
      </c>
      <c r="E53" s="12" t="e">
        <f>EDATE(B53,D53)</f>
        <v>#VALUE!</v>
      </c>
    </row>
    <row r="54" spans="1:5" x14ac:dyDescent="0.25">
      <c r="A54" s="33" t="s">
        <v>47</v>
      </c>
      <c r="B54" s="12" t="e">
        <f>E53</f>
        <v>#VALUE!</v>
      </c>
      <c r="C54" s="13" t="e">
        <f t="shared" si="0"/>
        <v>#VALUE!</v>
      </c>
      <c r="D54" s="2">
        <v>1</v>
      </c>
      <c r="E54" s="12" t="e">
        <f t="shared" ref="E54:E59" si="8">EDATE(B54,D54)</f>
        <v>#VALUE!</v>
      </c>
    </row>
    <row r="55" spans="1:5" x14ac:dyDescent="0.25">
      <c r="A55" s="32" t="s">
        <v>24</v>
      </c>
      <c r="B55" s="12" t="e">
        <f>B54</f>
        <v>#VALUE!</v>
      </c>
      <c r="C55" s="13">
        <f t="shared" si="0"/>
        <v>1</v>
      </c>
      <c r="D55" s="19">
        <v>0</v>
      </c>
      <c r="E55" s="12" t="e">
        <f t="shared" si="8"/>
        <v>#VALUE!</v>
      </c>
    </row>
    <row r="56" spans="1:5" x14ac:dyDescent="0.25">
      <c r="A56" s="33" t="s">
        <v>29</v>
      </c>
      <c r="B56" s="12" t="e">
        <f>E55</f>
        <v>#VALUE!</v>
      </c>
      <c r="C56" s="13">
        <f t="shared" si="0"/>
        <v>1</v>
      </c>
      <c r="D56" s="13">
        <v>0</v>
      </c>
      <c r="E56" s="12" t="e">
        <f t="shared" si="8"/>
        <v>#VALUE!</v>
      </c>
    </row>
    <row r="57" spans="1:5" x14ac:dyDescent="0.25">
      <c r="A57" s="33" t="s">
        <v>55</v>
      </c>
      <c r="B57" s="12" t="e">
        <f>E54</f>
        <v>#VALUE!</v>
      </c>
      <c r="C57" s="13">
        <f t="shared" si="0"/>
        <v>1</v>
      </c>
      <c r="D57" s="2">
        <v>0</v>
      </c>
      <c r="E57" s="12" t="e">
        <f t="shared" si="8"/>
        <v>#VALUE!</v>
      </c>
    </row>
    <row r="58" spans="1:5" x14ac:dyDescent="0.25">
      <c r="A58" s="33" t="s">
        <v>53</v>
      </c>
      <c r="B58" s="12" t="e">
        <f t="shared" ref="B58:B59" si="9">E57</f>
        <v>#VALUE!</v>
      </c>
      <c r="C58" s="13">
        <f t="shared" si="0"/>
        <v>1</v>
      </c>
      <c r="D58" s="2">
        <v>0</v>
      </c>
      <c r="E58" s="12" t="e">
        <f t="shared" si="8"/>
        <v>#VALUE!</v>
      </c>
    </row>
    <row r="59" spans="1:5" x14ac:dyDescent="0.25">
      <c r="A59" s="33" t="s">
        <v>54</v>
      </c>
      <c r="B59" s="12" t="e">
        <f t="shared" si="9"/>
        <v>#VALUE!</v>
      </c>
      <c r="C59" s="13" t="e">
        <f t="shared" si="0"/>
        <v>#VALUE!</v>
      </c>
      <c r="D59" s="17" t="str">
        <f>'RETRO PLANNING - Paramètres'!B13</f>
        <v>*</v>
      </c>
      <c r="E59" s="12" t="e">
        <f t="shared" si="8"/>
        <v>#VALUE!</v>
      </c>
    </row>
    <row r="60" spans="1:5" x14ac:dyDescent="0.25">
      <c r="A60" s="33" t="s">
        <v>30</v>
      </c>
      <c r="B60" s="73" t="s">
        <v>80</v>
      </c>
      <c r="C60" s="13">
        <f t="shared" si="0"/>
        <v>1</v>
      </c>
      <c r="D60" s="13">
        <v>0</v>
      </c>
      <c r="E60" s="12" t="e">
        <f t="shared" si="7"/>
        <v>#VALUE!</v>
      </c>
    </row>
    <row r="61" spans="1:5" x14ac:dyDescent="0.25">
      <c r="A61" s="33" t="s">
        <v>31</v>
      </c>
      <c r="B61" s="73" t="s">
        <v>80</v>
      </c>
      <c r="C61" s="13">
        <f t="shared" si="0"/>
        <v>1</v>
      </c>
      <c r="D61" s="13">
        <v>0</v>
      </c>
      <c r="E61" s="12" t="e">
        <f t="shared" si="7"/>
        <v>#VALUE!</v>
      </c>
    </row>
    <row r="62" spans="1:5" x14ac:dyDescent="0.25">
      <c r="A62" s="33" t="s">
        <v>32</v>
      </c>
      <c r="B62" s="73" t="s">
        <v>80</v>
      </c>
      <c r="C62" s="13">
        <f t="shared" si="0"/>
        <v>1</v>
      </c>
      <c r="D62" s="13">
        <v>0</v>
      </c>
      <c r="E62" s="12" t="e">
        <f t="shared" si="7"/>
        <v>#VALUE!</v>
      </c>
    </row>
    <row r="63" spans="1:5" x14ac:dyDescent="0.25">
      <c r="A63" s="33" t="s">
        <v>59</v>
      </c>
      <c r="B63" s="12" t="e">
        <f>E59</f>
        <v>#VALUE!</v>
      </c>
      <c r="C63" s="13" t="e">
        <f>IF(D63=0, 1,DATEDIF(B63,E63,"d"))</f>
        <v>#VALUE!</v>
      </c>
      <c r="D63" s="2">
        <v>1</v>
      </c>
      <c r="E63" s="12" t="e">
        <f>EDATE(B63,D63)</f>
        <v>#VALUE!</v>
      </c>
    </row>
    <row r="64" spans="1:5" x14ac:dyDescent="0.25">
      <c r="A64" s="33" t="s">
        <v>79</v>
      </c>
      <c r="B64" s="12" t="e">
        <f>E64</f>
        <v>#VALUE!</v>
      </c>
      <c r="C64" s="13">
        <f t="shared" si="0"/>
        <v>1</v>
      </c>
      <c r="D64" s="13">
        <v>0</v>
      </c>
      <c r="E64" s="12" t="e">
        <f>EDATE(B65,-2)</f>
        <v>#VALUE!</v>
      </c>
    </row>
    <row r="65" spans="1:6" x14ac:dyDescent="0.25">
      <c r="A65" s="32" t="s">
        <v>22</v>
      </c>
      <c r="B65" s="12" t="e">
        <f>E52</f>
        <v>#VALUE!</v>
      </c>
      <c r="C65" s="13">
        <f t="shared" si="0"/>
        <v>1</v>
      </c>
      <c r="D65" s="13">
        <v>0</v>
      </c>
      <c r="E65" s="12" t="e">
        <f t="shared" si="7"/>
        <v>#VALUE!</v>
      </c>
    </row>
    <row r="66" spans="1:6" x14ac:dyDescent="0.25">
      <c r="A66" s="32" t="s">
        <v>26</v>
      </c>
      <c r="B66" s="12" t="e">
        <f>E65</f>
        <v>#VALUE!</v>
      </c>
      <c r="C66" s="13" t="e">
        <f t="shared" si="0"/>
        <v>#VALUE!</v>
      </c>
      <c r="D66" s="2">
        <v>12</v>
      </c>
      <c r="E66" s="12" t="e">
        <f t="shared" si="7"/>
        <v>#VALUE!</v>
      </c>
    </row>
    <row r="67" spans="1:6" x14ac:dyDescent="0.25">
      <c r="A67" s="20" t="s">
        <v>45</v>
      </c>
      <c r="B67" s="12">
        <f ca="1">TODAY()</f>
        <v>43480</v>
      </c>
      <c r="C67" s="13">
        <v>1</v>
      </c>
      <c r="D67" s="13">
        <v>0</v>
      </c>
      <c r="E67" s="12">
        <f t="shared" ca="1" si="7"/>
        <v>43480</v>
      </c>
    </row>
    <row r="72" spans="1:6" x14ac:dyDescent="0.25">
      <c r="F72" s="74"/>
    </row>
    <row r="73" spans="1:6" x14ac:dyDescent="0.25">
      <c r="F73" s="72"/>
    </row>
    <row r="74" spans="1:6" x14ac:dyDescent="0.25">
      <c r="F74" s="72"/>
    </row>
    <row r="75" spans="1:6" x14ac:dyDescent="0.25">
      <c r="F75" s="72"/>
    </row>
  </sheetData>
  <sheetProtection password="CBEB" sheet="1" objects="1" scenarios="1"/>
  <pageMargins left="0.7" right="0.7" top="0.75" bottom="0.75" header="0.3" footer="0.3"/>
  <pageSetup paperSize="8" scale="6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5"/>
    <pageSetUpPr fitToPage="1"/>
  </sheetPr>
  <dimension ref="A1:X76"/>
  <sheetViews>
    <sheetView topLeftCell="A4" zoomScale="70" zoomScaleNormal="70" workbookViewId="0">
      <selection activeCell="D59" sqref="D59"/>
    </sheetView>
  </sheetViews>
  <sheetFormatPr baseColWidth="10" defaultRowHeight="15" x14ac:dyDescent="0.25"/>
  <cols>
    <col min="1" max="1" width="44" style="1" customWidth="1"/>
    <col min="2" max="3" width="11.42578125" style="1"/>
    <col min="4" max="4" width="11.42578125" style="1" customWidth="1"/>
    <col min="5" max="7" width="11.42578125" style="1"/>
    <col min="8" max="8" width="15.28515625" style="1" customWidth="1"/>
    <col min="9" max="9" width="11.42578125" style="1"/>
    <col min="10" max="10" width="14.140625" style="1" customWidth="1"/>
    <col min="11" max="11" width="18.42578125" style="1" customWidth="1"/>
    <col min="12" max="12" width="14.140625" style="1" customWidth="1"/>
    <col min="13" max="16384" width="11.42578125" style="1"/>
  </cols>
  <sheetData>
    <row r="1" spans="1:24" ht="18.75" x14ac:dyDescent="0.3">
      <c r="A1" s="35"/>
      <c r="B1" s="5"/>
      <c r="C1" s="5"/>
      <c r="D1" s="5"/>
      <c r="E1" s="5"/>
      <c r="F1" s="5"/>
      <c r="G1" s="5"/>
      <c r="H1" s="5"/>
      <c r="I1" s="5"/>
      <c r="J1" s="3">
        <f>'PLANNING - Paramètres'!B5</f>
        <v>0</v>
      </c>
      <c r="K1" s="5"/>
      <c r="L1" s="5"/>
      <c r="M1" s="5"/>
      <c r="N1" s="5"/>
      <c r="O1" s="5"/>
      <c r="P1" s="5"/>
      <c r="Q1" s="5"/>
      <c r="R1" s="5"/>
      <c r="S1" s="5"/>
      <c r="T1" s="38" t="s">
        <v>91</v>
      </c>
      <c r="U1" s="5">
        <f>'PLANNING - Paramètres'!B9</f>
        <v>0</v>
      </c>
      <c r="V1" s="5"/>
      <c r="W1" s="5"/>
      <c r="X1" s="39"/>
    </row>
    <row r="2" spans="1:24" x14ac:dyDescent="0.25">
      <c r="A2" s="3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40" t="s">
        <v>3</v>
      </c>
      <c r="U2" s="6">
        <f>'PLANNING - Paramètres'!B10</f>
        <v>0</v>
      </c>
      <c r="V2" s="6"/>
      <c r="W2" s="6"/>
      <c r="X2" s="41"/>
    </row>
    <row r="3" spans="1:24" x14ac:dyDescent="0.25">
      <c r="A3" s="36"/>
      <c r="B3" s="6"/>
      <c r="C3" s="6"/>
      <c r="D3" s="6"/>
      <c r="E3" s="6"/>
      <c r="F3" s="6"/>
      <c r="G3" s="6"/>
      <c r="H3" s="6"/>
      <c r="I3" s="6"/>
      <c r="J3" s="40" t="s">
        <v>90</v>
      </c>
      <c r="K3" s="6"/>
      <c r="L3" s="24" t="str">
        <f>'PLANNING - Paramètres'!B7</f>
        <v>*</v>
      </c>
      <c r="M3" s="6"/>
      <c r="N3" s="6"/>
      <c r="O3" s="6"/>
      <c r="P3" s="6"/>
      <c r="Q3" s="6"/>
      <c r="R3" s="6"/>
      <c r="S3" s="6"/>
      <c r="T3" s="40" t="s">
        <v>4</v>
      </c>
      <c r="U3" s="6">
        <f>'PLANNING - Paramètres'!B6</f>
        <v>0</v>
      </c>
      <c r="V3" s="6"/>
      <c r="W3" s="6"/>
      <c r="X3" s="41"/>
    </row>
    <row r="4" spans="1:24" x14ac:dyDescent="0.25">
      <c r="A4" s="36"/>
      <c r="B4" s="6"/>
      <c r="C4" s="6"/>
      <c r="D4" s="6"/>
      <c r="E4" s="6"/>
      <c r="F4" s="6"/>
      <c r="G4" s="6"/>
      <c r="H4" s="6"/>
      <c r="I4" s="6"/>
      <c r="J4" s="40" t="s">
        <v>56</v>
      </c>
      <c r="K4" s="4"/>
      <c r="L4" s="26" t="str">
        <f>'PLANNING - Paramètres'!B8</f>
        <v>*</v>
      </c>
      <c r="M4" s="6"/>
      <c r="N4" s="6"/>
      <c r="O4" s="6"/>
      <c r="P4" s="6"/>
      <c r="Q4" s="6"/>
      <c r="R4" s="6"/>
      <c r="S4" s="6"/>
      <c r="T4" s="40"/>
      <c r="U4" s="6"/>
      <c r="V4" s="6"/>
      <c r="W4" s="6"/>
      <c r="X4" s="41"/>
    </row>
    <row r="5" spans="1:24" x14ac:dyDescent="0.25">
      <c r="A5" s="36"/>
      <c r="B5" s="6"/>
      <c r="C5" s="6"/>
      <c r="D5" s="6"/>
      <c r="E5" s="6"/>
      <c r="F5" s="6"/>
      <c r="G5" s="6"/>
      <c r="H5" s="6"/>
      <c r="I5" s="6"/>
      <c r="J5" s="40" t="s">
        <v>101</v>
      </c>
      <c r="K5" s="6"/>
      <c r="L5" s="7" t="str">
        <f>'PLANNING - Paramètres'!B12</f>
        <v>*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41"/>
    </row>
    <row r="6" spans="1:24" ht="15.75" thickBot="1" x14ac:dyDescent="0.3">
      <c r="A6" s="37" t="s">
        <v>105</v>
      </c>
      <c r="B6" s="45"/>
      <c r="C6" s="6"/>
      <c r="D6" s="6"/>
      <c r="E6" s="6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 t="s">
        <v>6</v>
      </c>
      <c r="U6" s="8">
        <f ca="1">'PLANNING - Paramètres'!B15</f>
        <v>43480</v>
      </c>
      <c r="V6" s="43"/>
      <c r="W6" s="43"/>
      <c r="X6" s="44"/>
    </row>
    <row r="7" spans="1:24" ht="30" x14ac:dyDescent="0.25">
      <c r="A7" s="76" t="s">
        <v>7</v>
      </c>
      <c r="B7" s="28" t="s">
        <v>8</v>
      </c>
      <c r="C7" s="29" t="s">
        <v>28</v>
      </c>
      <c r="D7" s="28" t="s">
        <v>27</v>
      </c>
      <c r="E7" s="28" t="s">
        <v>9</v>
      </c>
    </row>
    <row r="8" spans="1:24" ht="15.75" thickBot="1" x14ac:dyDescent="0.3">
      <c r="A8" s="32" t="s">
        <v>100</v>
      </c>
      <c r="B8" s="12" t="str">
        <f>'PLANNING - Paramètres'!B12</f>
        <v>*</v>
      </c>
      <c r="C8" s="13">
        <f>IF(D8=0, 1,DATEDIF(B8,E8,"d"))</f>
        <v>1</v>
      </c>
      <c r="D8" s="19">
        <v>0</v>
      </c>
      <c r="E8" s="12" t="e">
        <f t="shared" ref="E8:E15" si="0">EDATE(B8,D8)</f>
        <v>#VALUE!</v>
      </c>
    </row>
    <row r="9" spans="1:24" ht="15.75" thickBot="1" x14ac:dyDescent="0.3">
      <c r="A9" s="31" t="s">
        <v>10</v>
      </c>
      <c r="B9" s="9" t="e">
        <f>E8</f>
        <v>#VALUE!</v>
      </c>
      <c r="C9" s="10" t="e">
        <f>IF(D9="0",C9="1",DATEDIF(B9,E9,"d"))</f>
        <v>#VALUE!</v>
      </c>
      <c r="D9" s="11">
        <f>SUM(D10:D15)</f>
        <v>13</v>
      </c>
      <c r="E9" s="9" t="e">
        <f t="shared" si="0"/>
        <v>#VALUE!</v>
      </c>
    </row>
    <row r="10" spans="1:24" x14ac:dyDescent="0.25">
      <c r="A10" s="32" t="s">
        <v>24</v>
      </c>
      <c r="B10" s="12" t="e">
        <f>E8</f>
        <v>#VALUE!</v>
      </c>
      <c r="C10" s="13">
        <f t="shared" ref="C10:C20" si="1">IF(D10=0, 1,DATEDIF(B10,E10,"d"))</f>
        <v>1</v>
      </c>
      <c r="D10" s="19">
        <v>0</v>
      </c>
      <c r="E10" s="12" t="e">
        <f t="shared" si="0"/>
        <v>#VALUE!</v>
      </c>
    </row>
    <row r="11" spans="1:24" x14ac:dyDescent="0.25">
      <c r="A11" s="32" t="s">
        <v>25</v>
      </c>
      <c r="B11" s="12" t="e">
        <f>E10</f>
        <v>#VALUE!</v>
      </c>
      <c r="C11" s="13" t="e">
        <f t="shared" si="1"/>
        <v>#VALUE!</v>
      </c>
      <c r="D11" s="2">
        <v>3</v>
      </c>
      <c r="E11" s="12" t="e">
        <f t="shared" si="0"/>
        <v>#VALUE!</v>
      </c>
    </row>
    <row r="12" spans="1:24" x14ac:dyDescent="0.25">
      <c r="A12" s="32" t="s">
        <v>86</v>
      </c>
      <c r="B12" s="12" t="e">
        <f>E11</f>
        <v>#VALUE!</v>
      </c>
      <c r="C12" s="13" t="e">
        <f t="shared" si="1"/>
        <v>#VALUE!</v>
      </c>
      <c r="D12" s="2">
        <v>2</v>
      </c>
      <c r="E12" s="12" t="e">
        <f t="shared" si="0"/>
        <v>#VALUE!</v>
      </c>
    </row>
    <row r="13" spans="1:24" x14ac:dyDescent="0.25">
      <c r="A13" s="33" t="s">
        <v>23</v>
      </c>
      <c r="B13" s="12" t="e">
        <f>E12</f>
        <v>#VALUE!</v>
      </c>
      <c r="C13" s="13">
        <f t="shared" si="1"/>
        <v>1</v>
      </c>
      <c r="D13" s="13">
        <v>0</v>
      </c>
      <c r="E13" s="12" t="e">
        <f t="shared" si="0"/>
        <v>#VALUE!</v>
      </c>
    </row>
    <row r="14" spans="1:24" x14ac:dyDescent="0.25">
      <c r="A14" s="32" t="s">
        <v>78</v>
      </c>
      <c r="B14" s="12" t="e">
        <f>E13</f>
        <v>#VALUE!</v>
      </c>
      <c r="C14" s="13" t="e">
        <f t="shared" si="1"/>
        <v>#VALUE!</v>
      </c>
      <c r="D14" s="13">
        <f>IF(L4&gt;=15000000,3,IF(L4&gt;=1000000,2,IF(L4&lt;=500000,1,0)))</f>
        <v>3</v>
      </c>
      <c r="E14" s="12" t="e">
        <f t="shared" si="0"/>
        <v>#VALUE!</v>
      </c>
    </row>
    <row r="15" spans="1:24" x14ac:dyDescent="0.25">
      <c r="A15" s="32" t="s">
        <v>11</v>
      </c>
      <c r="B15" s="12" t="e">
        <f>E14</f>
        <v>#VALUE!</v>
      </c>
      <c r="C15" s="13" t="e">
        <f t="shared" si="1"/>
        <v>#VALUE!</v>
      </c>
      <c r="D15" s="2">
        <v>5</v>
      </c>
      <c r="E15" s="12" t="e">
        <f t="shared" si="0"/>
        <v>#VALUE!</v>
      </c>
    </row>
    <row r="16" spans="1:24" x14ac:dyDescent="0.25">
      <c r="A16" s="31" t="s">
        <v>19</v>
      </c>
      <c r="B16" s="9" t="e">
        <f>B17</f>
        <v>#VALUE!</v>
      </c>
      <c r="C16" s="14" t="e">
        <f t="shared" si="1"/>
        <v>#VALUE!</v>
      </c>
      <c r="D16" s="14" t="e">
        <f>DATEDIF(B16,E16,"m")</f>
        <v>#VALUE!</v>
      </c>
      <c r="E16" s="9" t="e">
        <f>E42</f>
        <v>#VALUE!</v>
      </c>
    </row>
    <row r="17" spans="1:5" x14ac:dyDescent="0.25">
      <c r="A17" s="32" t="s">
        <v>12</v>
      </c>
      <c r="B17" s="12" t="e">
        <f>EDATE(E17,-D17)</f>
        <v>#VALUE!</v>
      </c>
      <c r="C17" s="13">
        <f t="shared" si="1"/>
        <v>1</v>
      </c>
      <c r="D17" s="13">
        <v>0</v>
      </c>
      <c r="E17" s="12" t="e">
        <f>B18</f>
        <v>#VALUE!</v>
      </c>
    </row>
    <row r="18" spans="1:5" x14ac:dyDescent="0.25">
      <c r="A18" s="33" t="s">
        <v>81</v>
      </c>
      <c r="B18" s="12" t="e">
        <f>EDATE(E18,-D18)</f>
        <v>#VALUE!</v>
      </c>
      <c r="C18" s="13">
        <f t="shared" si="1"/>
        <v>1</v>
      </c>
      <c r="D18" s="13">
        <v>0</v>
      </c>
      <c r="E18" s="12" t="e">
        <f>B19</f>
        <v>#VALUE!</v>
      </c>
    </row>
    <row r="19" spans="1:5" x14ac:dyDescent="0.25">
      <c r="A19" s="32" t="s">
        <v>72</v>
      </c>
      <c r="B19" s="12" t="e">
        <f>EDATE(E19,-D19)</f>
        <v>#VALUE!</v>
      </c>
      <c r="C19" s="13">
        <f t="shared" si="1"/>
        <v>1</v>
      </c>
      <c r="D19" s="13">
        <v>0</v>
      </c>
      <c r="E19" s="12" t="e">
        <f>B20</f>
        <v>#VALUE!</v>
      </c>
    </row>
    <row r="20" spans="1:5" x14ac:dyDescent="0.25">
      <c r="A20" s="32" t="s">
        <v>73</v>
      </c>
      <c r="B20" s="12" t="e">
        <f>EDATE(E20,-D20)</f>
        <v>#VALUE!</v>
      </c>
      <c r="C20" s="13" t="e">
        <f t="shared" si="1"/>
        <v>#VALUE!</v>
      </c>
      <c r="D20" s="2">
        <v>2</v>
      </c>
      <c r="E20" s="12" t="e">
        <f>B26</f>
        <v>#VALUE!</v>
      </c>
    </row>
    <row r="21" spans="1:5" ht="15.75" thickBot="1" x14ac:dyDescent="0.3">
      <c r="A21" s="33" t="s">
        <v>77</v>
      </c>
      <c r="B21" s="12" t="e">
        <f>B25</f>
        <v>#VALUE!</v>
      </c>
      <c r="C21" s="13" t="e">
        <f>DATEDIF(B21,E21,"d")</f>
        <v>#VALUE!</v>
      </c>
      <c r="D21" s="13" t="e">
        <f>C21/30</f>
        <v>#VALUE!</v>
      </c>
      <c r="E21" s="12" t="e">
        <f>E16</f>
        <v>#VALUE!</v>
      </c>
    </row>
    <row r="22" spans="1:5" ht="15.75" thickBot="1" x14ac:dyDescent="0.3">
      <c r="A22" s="31" t="s">
        <v>13</v>
      </c>
      <c r="B22" s="9" t="e">
        <f>B23</f>
        <v>#VALUE!</v>
      </c>
      <c r="C22" s="14" t="e">
        <f t="shared" ref="C22:C42" si="2">IF(D22=0, 1,DATEDIF(B22,E22,"d"))</f>
        <v>#VALUE!</v>
      </c>
      <c r="D22" s="11" t="e">
        <f>DATEDIF(B22,E22,"m")</f>
        <v>#VALUE!</v>
      </c>
      <c r="E22" s="9" t="e">
        <f>E25</f>
        <v>#VALUE!</v>
      </c>
    </row>
    <row r="23" spans="1:5" x14ac:dyDescent="0.25">
      <c r="A23" s="33" t="s">
        <v>74</v>
      </c>
      <c r="B23" s="12" t="e">
        <f>EDATE(B9,12)</f>
        <v>#VALUE!</v>
      </c>
      <c r="C23" s="13">
        <f t="shared" si="2"/>
        <v>1</v>
      </c>
      <c r="D23" s="13">
        <v>0</v>
      </c>
      <c r="E23" s="12" t="e">
        <f>B24</f>
        <v>#VALUE!</v>
      </c>
    </row>
    <row r="24" spans="1:5" x14ac:dyDescent="0.25">
      <c r="A24" s="33" t="s">
        <v>75</v>
      </c>
      <c r="B24" s="12" t="e">
        <f>EDATE(B9,24)</f>
        <v>#VALUE!</v>
      </c>
      <c r="C24" s="13">
        <f t="shared" si="2"/>
        <v>1</v>
      </c>
      <c r="D24" s="13">
        <v>0</v>
      </c>
      <c r="E24" s="12" t="e">
        <f>B25</f>
        <v>#VALUE!</v>
      </c>
    </row>
    <row r="25" spans="1:5" ht="15.75" thickBot="1" x14ac:dyDescent="0.3">
      <c r="A25" s="33" t="s">
        <v>14</v>
      </c>
      <c r="B25" s="12" t="e">
        <f>EDATE(B53,-3)</f>
        <v>#VALUE!</v>
      </c>
      <c r="C25" s="13">
        <f t="shared" si="2"/>
        <v>1</v>
      </c>
      <c r="D25" s="15">
        <v>0</v>
      </c>
      <c r="E25" s="12" t="e">
        <f>B25</f>
        <v>#VALUE!</v>
      </c>
    </row>
    <row r="26" spans="1:5" ht="15.75" thickBot="1" x14ac:dyDescent="0.3">
      <c r="A26" s="31" t="s">
        <v>15</v>
      </c>
      <c r="B26" s="9" t="e">
        <f>E9</f>
        <v>#VALUE!</v>
      </c>
      <c r="C26" s="10" t="e">
        <f t="shared" si="2"/>
        <v>#VALUE!</v>
      </c>
      <c r="D26" s="11">
        <f>SUM(D27:D32)</f>
        <v>14</v>
      </c>
      <c r="E26" s="9" t="e">
        <f t="shared" ref="E26:E44" si="3">EDATE(B26,D26)</f>
        <v>#VALUE!</v>
      </c>
    </row>
    <row r="27" spans="1:5" x14ac:dyDescent="0.25">
      <c r="A27" s="33" t="s">
        <v>82</v>
      </c>
      <c r="B27" s="12" t="e">
        <f>B26</f>
        <v>#VALUE!</v>
      </c>
      <c r="C27" s="13" t="e">
        <f t="shared" si="2"/>
        <v>#VALUE!</v>
      </c>
      <c r="D27" s="2">
        <v>1</v>
      </c>
      <c r="E27" s="12" t="e">
        <f t="shared" si="3"/>
        <v>#VALUE!</v>
      </c>
    </row>
    <row r="28" spans="1:5" x14ac:dyDescent="0.25">
      <c r="A28" s="32" t="s">
        <v>76</v>
      </c>
      <c r="B28" s="12" t="e">
        <f>E27</f>
        <v>#VALUE!</v>
      </c>
      <c r="C28" s="13">
        <f t="shared" si="2"/>
        <v>1</v>
      </c>
      <c r="D28" s="19">
        <v>0</v>
      </c>
      <c r="E28" s="12" t="e">
        <f t="shared" si="3"/>
        <v>#VALUE!</v>
      </c>
    </row>
    <row r="29" spans="1:5" x14ac:dyDescent="0.25">
      <c r="A29" s="32" t="s">
        <v>40</v>
      </c>
      <c r="B29" s="12" t="e">
        <f>E28</f>
        <v>#VALUE!</v>
      </c>
      <c r="C29" s="13" t="e">
        <f t="shared" si="2"/>
        <v>#VALUE!</v>
      </c>
      <c r="D29" s="2">
        <v>8</v>
      </c>
      <c r="E29" s="12" t="e">
        <f t="shared" si="3"/>
        <v>#VALUE!</v>
      </c>
    </row>
    <row r="30" spans="1:5" x14ac:dyDescent="0.25">
      <c r="A30" s="32" t="s">
        <v>84</v>
      </c>
      <c r="B30" s="12" t="e">
        <f>E29</f>
        <v>#VALUE!</v>
      </c>
      <c r="C30" s="13" t="e">
        <f t="shared" si="2"/>
        <v>#VALUE!</v>
      </c>
      <c r="D30" s="2">
        <v>2</v>
      </c>
      <c r="E30" s="12" t="e">
        <f t="shared" si="3"/>
        <v>#VALUE!</v>
      </c>
    </row>
    <row r="31" spans="1:5" x14ac:dyDescent="0.25">
      <c r="A31" s="33" t="s">
        <v>23</v>
      </c>
      <c r="B31" s="12" t="e">
        <f>E30</f>
        <v>#VALUE!</v>
      </c>
      <c r="C31" s="13">
        <f t="shared" si="2"/>
        <v>1</v>
      </c>
      <c r="D31" s="13">
        <v>0</v>
      </c>
      <c r="E31" s="12" t="e">
        <f t="shared" si="3"/>
        <v>#VALUE!</v>
      </c>
    </row>
    <row r="32" spans="1:5" ht="15.75" thickBot="1" x14ac:dyDescent="0.3">
      <c r="A32" s="32" t="s">
        <v>78</v>
      </c>
      <c r="B32" s="12" t="e">
        <f>E31</f>
        <v>#VALUE!</v>
      </c>
      <c r="C32" s="13" t="e">
        <f t="shared" si="2"/>
        <v>#VALUE!</v>
      </c>
      <c r="D32" s="15">
        <f>IF(L4&gt;=15000000,3,IF(L4&gt;=1000000,2,IF(L4&lt;=500000,1,0)))</f>
        <v>3</v>
      </c>
      <c r="E32" s="12" t="e">
        <f t="shared" si="3"/>
        <v>#VALUE!</v>
      </c>
    </row>
    <row r="33" spans="1:5" ht="15.75" thickBot="1" x14ac:dyDescent="0.3">
      <c r="A33" s="31" t="s">
        <v>16</v>
      </c>
      <c r="B33" s="9" t="e">
        <f>E26</f>
        <v>#VALUE!</v>
      </c>
      <c r="C33" s="10" t="e">
        <f t="shared" si="2"/>
        <v>#VALUE!</v>
      </c>
      <c r="D33" s="11">
        <f>SUM(D34:D39)</f>
        <v>13</v>
      </c>
      <c r="E33" s="9" t="e">
        <f t="shared" si="3"/>
        <v>#VALUE!</v>
      </c>
    </row>
    <row r="34" spans="1:5" x14ac:dyDescent="0.25">
      <c r="A34" s="33" t="s">
        <v>82</v>
      </c>
      <c r="B34" s="12" t="e">
        <f>B33</f>
        <v>#VALUE!</v>
      </c>
      <c r="C34" s="13" t="e">
        <f t="shared" si="2"/>
        <v>#VALUE!</v>
      </c>
      <c r="D34" s="2">
        <v>1</v>
      </c>
      <c r="E34" s="12" t="e">
        <f t="shared" si="3"/>
        <v>#VALUE!</v>
      </c>
    </row>
    <row r="35" spans="1:5" x14ac:dyDescent="0.25">
      <c r="A35" s="32" t="s">
        <v>76</v>
      </c>
      <c r="B35" s="12" t="e">
        <f>E34</f>
        <v>#VALUE!</v>
      </c>
      <c r="C35" s="13">
        <f t="shared" si="2"/>
        <v>1</v>
      </c>
      <c r="D35" s="19">
        <v>0</v>
      </c>
      <c r="E35" s="12" t="e">
        <f t="shared" si="3"/>
        <v>#VALUE!</v>
      </c>
    </row>
    <row r="36" spans="1:5" x14ac:dyDescent="0.25">
      <c r="A36" s="32" t="s">
        <v>40</v>
      </c>
      <c r="B36" s="12" t="e">
        <f>E35</f>
        <v>#VALUE!</v>
      </c>
      <c r="C36" s="13" t="e">
        <f t="shared" si="2"/>
        <v>#VALUE!</v>
      </c>
      <c r="D36" s="2">
        <v>7</v>
      </c>
      <c r="E36" s="12" t="e">
        <f t="shared" si="3"/>
        <v>#VALUE!</v>
      </c>
    </row>
    <row r="37" spans="1:5" x14ac:dyDescent="0.25">
      <c r="A37" s="32" t="s">
        <v>85</v>
      </c>
      <c r="B37" s="12" t="e">
        <f>E36</f>
        <v>#VALUE!</v>
      </c>
      <c r="C37" s="13" t="e">
        <f t="shared" si="2"/>
        <v>#VALUE!</v>
      </c>
      <c r="D37" s="2">
        <v>2</v>
      </c>
      <c r="E37" s="12" t="e">
        <f t="shared" si="3"/>
        <v>#VALUE!</v>
      </c>
    </row>
    <row r="38" spans="1:5" x14ac:dyDescent="0.25">
      <c r="A38" s="33" t="s">
        <v>23</v>
      </c>
      <c r="B38" s="12" t="e">
        <f>E37</f>
        <v>#VALUE!</v>
      </c>
      <c r="C38" s="13">
        <f t="shared" si="2"/>
        <v>1</v>
      </c>
      <c r="D38" s="34">
        <v>0</v>
      </c>
      <c r="E38" s="12" t="e">
        <f t="shared" si="3"/>
        <v>#VALUE!</v>
      </c>
    </row>
    <row r="39" spans="1:5" ht="15.75" thickBot="1" x14ac:dyDescent="0.3">
      <c r="A39" s="32" t="s">
        <v>78</v>
      </c>
      <c r="B39" s="12" t="e">
        <f>E38</f>
        <v>#VALUE!</v>
      </c>
      <c r="C39" s="13" t="e">
        <f t="shared" si="2"/>
        <v>#VALUE!</v>
      </c>
      <c r="D39" s="15">
        <f>IF(L4&gt;=15000000,3,IF(L4&gt;=1000000,2,IF(L4&lt;=500000,1,0)))</f>
        <v>3</v>
      </c>
      <c r="E39" s="12" t="e">
        <f t="shared" si="3"/>
        <v>#VALUE!</v>
      </c>
    </row>
    <row r="40" spans="1:5" ht="15.75" thickBot="1" x14ac:dyDescent="0.3">
      <c r="A40" s="31" t="s">
        <v>17</v>
      </c>
      <c r="B40" s="9" t="e">
        <f>E33</f>
        <v>#VALUE!</v>
      </c>
      <c r="C40" s="10" t="e">
        <f t="shared" si="2"/>
        <v>#VALUE!</v>
      </c>
      <c r="D40" s="11">
        <f>SUM(D42,D53,D67)</f>
        <v>27.698333333333331</v>
      </c>
      <c r="E40" s="9" t="e">
        <f t="shared" si="3"/>
        <v>#VALUE!</v>
      </c>
    </row>
    <row r="41" spans="1:5" ht="15.75" thickBot="1" x14ac:dyDescent="0.3">
      <c r="A41" s="32" t="s">
        <v>24</v>
      </c>
      <c r="B41" s="12" t="e">
        <f>B40</f>
        <v>#VALUE!</v>
      </c>
      <c r="C41" s="13">
        <f t="shared" si="2"/>
        <v>1</v>
      </c>
      <c r="D41" s="19">
        <v>0</v>
      </c>
      <c r="E41" s="12" t="e">
        <f t="shared" si="3"/>
        <v>#VALUE!</v>
      </c>
    </row>
    <row r="42" spans="1:5" ht="15.75" thickBot="1" x14ac:dyDescent="0.3">
      <c r="A42" s="31" t="s">
        <v>18</v>
      </c>
      <c r="B42" s="9" t="e">
        <f>E41</f>
        <v>#VALUE!</v>
      </c>
      <c r="C42" s="10" t="e">
        <f t="shared" si="2"/>
        <v>#VALUE!</v>
      </c>
      <c r="D42" s="11">
        <f>SUM(D43:D52)</f>
        <v>13.698333333333332</v>
      </c>
      <c r="E42" s="9" t="e">
        <f t="shared" si="3"/>
        <v>#VALUE!</v>
      </c>
    </row>
    <row r="43" spans="1:5" x14ac:dyDescent="0.25">
      <c r="A43" s="33" t="s">
        <v>38</v>
      </c>
      <c r="B43" s="12" t="e">
        <f>B42</f>
        <v>#VALUE!</v>
      </c>
      <c r="C43" s="13">
        <f>D43*30</f>
        <v>150</v>
      </c>
      <c r="D43" s="2">
        <v>5</v>
      </c>
      <c r="E43" s="12" t="e">
        <f t="shared" si="3"/>
        <v>#VALUE!</v>
      </c>
    </row>
    <row r="44" spans="1:5" x14ac:dyDescent="0.25">
      <c r="A44" s="33" t="s">
        <v>35</v>
      </c>
      <c r="B44" s="12" t="e">
        <f t="shared" ref="B44:B52" si="4">E43</f>
        <v>#VALUE!</v>
      </c>
      <c r="C44" s="13">
        <f>IF(L3&gt;=5000000,81,IF(L3&gt;=1000000,31,IF(L3&lt;1000000,17,0)))</f>
        <v>81</v>
      </c>
      <c r="D44" s="13">
        <f>C44/30</f>
        <v>2.7</v>
      </c>
      <c r="E44" s="12" t="e">
        <f t="shared" si="3"/>
        <v>#VALUE!</v>
      </c>
    </row>
    <row r="45" spans="1:5" x14ac:dyDescent="0.25">
      <c r="A45" s="33" t="s">
        <v>41</v>
      </c>
      <c r="B45" s="12" t="e">
        <f t="shared" si="4"/>
        <v>#VALUE!</v>
      </c>
      <c r="C45" s="13">
        <f>D45*30</f>
        <v>15</v>
      </c>
      <c r="D45" s="2">
        <v>0.5</v>
      </c>
      <c r="E45" s="12" t="e">
        <f>B45+C45</f>
        <v>#VALUE!</v>
      </c>
    </row>
    <row r="46" spans="1:5" x14ac:dyDescent="0.25">
      <c r="A46" s="33" t="s">
        <v>36</v>
      </c>
      <c r="B46" s="12" t="e">
        <f t="shared" si="4"/>
        <v>#VALUE!</v>
      </c>
      <c r="C46" s="13">
        <f>D46*30</f>
        <v>15</v>
      </c>
      <c r="D46" s="2">
        <v>0.5</v>
      </c>
      <c r="E46" s="12" t="e">
        <f>B46+C46</f>
        <v>#VALUE!</v>
      </c>
    </row>
    <row r="47" spans="1:5" x14ac:dyDescent="0.25">
      <c r="A47" s="33" t="s">
        <v>43</v>
      </c>
      <c r="B47" s="12" t="e">
        <f t="shared" si="4"/>
        <v>#VALUE!</v>
      </c>
      <c r="C47" s="13">
        <f>IF(L3&gt;=5000000,94,IF(L3&gt;=1000000,94,IF(L3&lt;1000000,69,0)))</f>
        <v>94</v>
      </c>
      <c r="D47" s="34">
        <f>C47/30</f>
        <v>3.1333333333333333</v>
      </c>
      <c r="E47" s="12" t="e">
        <f>EDATE(B47,D47)</f>
        <v>#VALUE!</v>
      </c>
    </row>
    <row r="48" spans="1:5" x14ac:dyDescent="0.25">
      <c r="A48" s="33" t="s">
        <v>42</v>
      </c>
      <c r="B48" s="12" t="e">
        <f t="shared" si="4"/>
        <v>#VALUE!</v>
      </c>
      <c r="C48" s="13">
        <f>D48*30</f>
        <v>15</v>
      </c>
      <c r="D48" s="2">
        <v>0.5</v>
      </c>
      <c r="E48" s="12" t="e">
        <f>B48+C48</f>
        <v>#VALUE!</v>
      </c>
    </row>
    <row r="49" spans="1:5" x14ac:dyDescent="0.25">
      <c r="A49" s="33" t="s">
        <v>36</v>
      </c>
      <c r="B49" s="12" t="e">
        <f t="shared" si="4"/>
        <v>#VALUE!</v>
      </c>
      <c r="C49" s="13">
        <f>D49*30</f>
        <v>15</v>
      </c>
      <c r="D49" s="2">
        <v>0.5</v>
      </c>
      <c r="E49" s="12" t="e">
        <f>B49+C49</f>
        <v>#VALUE!</v>
      </c>
    </row>
    <row r="50" spans="1:5" x14ac:dyDescent="0.25">
      <c r="A50" s="33" t="s">
        <v>37</v>
      </c>
      <c r="B50" s="12" t="e">
        <f t="shared" si="4"/>
        <v>#VALUE!</v>
      </c>
      <c r="C50" s="13">
        <f>D50*30</f>
        <v>15</v>
      </c>
      <c r="D50" s="13">
        <v>0.5</v>
      </c>
      <c r="E50" s="12" t="e">
        <f>B50+C50</f>
        <v>#VALUE!</v>
      </c>
    </row>
    <row r="51" spans="1:5" x14ac:dyDescent="0.25">
      <c r="A51" s="33" t="s">
        <v>58</v>
      </c>
      <c r="B51" s="12" t="e">
        <f t="shared" si="4"/>
        <v>#VALUE!</v>
      </c>
      <c r="C51" s="13">
        <f>D51*30</f>
        <v>10.95</v>
      </c>
      <c r="D51" s="13">
        <v>0.36499999999999999</v>
      </c>
      <c r="E51" s="12" t="e">
        <f>B51+C51</f>
        <v>#VALUE!</v>
      </c>
    </row>
    <row r="52" spans="1:5" ht="15.75" thickBot="1" x14ac:dyDescent="0.3">
      <c r="A52" s="32" t="s">
        <v>20</v>
      </c>
      <c r="B52" s="12" t="e">
        <f t="shared" si="4"/>
        <v>#VALUE!</v>
      </c>
      <c r="C52" s="13">
        <f t="shared" ref="C52:C67" si="5">IF(D52=0, 1,DATEDIF(B52,E52,"d"))</f>
        <v>1</v>
      </c>
      <c r="D52" s="13">
        <v>0</v>
      </c>
      <c r="E52" s="12" t="e">
        <f t="shared" ref="E52:E64" si="6">EDATE(B52,D52)</f>
        <v>#VALUE!</v>
      </c>
    </row>
    <row r="53" spans="1:5" ht="15.75" thickBot="1" x14ac:dyDescent="0.3">
      <c r="A53" s="31" t="s">
        <v>21</v>
      </c>
      <c r="B53" s="9" t="e">
        <f>E42</f>
        <v>#VALUE!</v>
      </c>
      <c r="C53" s="10" t="e">
        <f t="shared" si="5"/>
        <v>#VALUE!</v>
      </c>
      <c r="D53" s="11">
        <f>SUM(D54:D66)</f>
        <v>2</v>
      </c>
      <c r="E53" s="9" t="e">
        <f t="shared" si="6"/>
        <v>#VALUE!</v>
      </c>
    </row>
    <row r="54" spans="1:5" x14ac:dyDescent="0.25">
      <c r="A54" s="33" t="s">
        <v>48</v>
      </c>
      <c r="B54" s="12" t="e">
        <f>B53</f>
        <v>#VALUE!</v>
      </c>
      <c r="C54" s="13">
        <f t="shared" si="5"/>
        <v>1</v>
      </c>
      <c r="D54" s="13">
        <v>0</v>
      </c>
      <c r="E54" s="12" t="e">
        <f t="shared" si="6"/>
        <v>#VALUE!</v>
      </c>
    </row>
    <row r="55" spans="1:5" x14ac:dyDescent="0.25">
      <c r="A55" s="33" t="s">
        <v>47</v>
      </c>
      <c r="B55" s="12" t="e">
        <f>E54</f>
        <v>#VALUE!</v>
      </c>
      <c r="C55" s="13" t="e">
        <f t="shared" si="5"/>
        <v>#VALUE!</v>
      </c>
      <c r="D55" s="2">
        <v>1</v>
      </c>
      <c r="E55" s="12" t="e">
        <f t="shared" si="6"/>
        <v>#VALUE!</v>
      </c>
    </row>
    <row r="56" spans="1:5" x14ac:dyDescent="0.25">
      <c r="A56" s="32" t="s">
        <v>24</v>
      </c>
      <c r="B56" s="12" t="e">
        <f>B55</f>
        <v>#VALUE!</v>
      </c>
      <c r="C56" s="13">
        <f t="shared" si="5"/>
        <v>1</v>
      </c>
      <c r="D56" s="19">
        <v>0</v>
      </c>
      <c r="E56" s="12" t="e">
        <f t="shared" si="6"/>
        <v>#VALUE!</v>
      </c>
    </row>
    <row r="57" spans="1:5" x14ac:dyDescent="0.25">
      <c r="A57" s="33" t="s">
        <v>29</v>
      </c>
      <c r="B57" s="12" t="e">
        <f>E56</f>
        <v>#VALUE!</v>
      </c>
      <c r="C57" s="13">
        <f t="shared" si="5"/>
        <v>1</v>
      </c>
      <c r="D57" s="13">
        <v>0</v>
      </c>
      <c r="E57" s="12" t="e">
        <f t="shared" si="6"/>
        <v>#VALUE!</v>
      </c>
    </row>
    <row r="58" spans="1:5" x14ac:dyDescent="0.25">
      <c r="A58" s="33" t="s">
        <v>55</v>
      </c>
      <c r="B58" s="12" t="e">
        <f>E55</f>
        <v>#VALUE!</v>
      </c>
      <c r="C58" s="13">
        <f t="shared" si="5"/>
        <v>1</v>
      </c>
      <c r="D58" s="2">
        <v>0</v>
      </c>
      <c r="E58" s="12" t="e">
        <f t="shared" si="6"/>
        <v>#VALUE!</v>
      </c>
    </row>
    <row r="59" spans="1:5" x14ac:dyDescent="0.25">
      <c r="A59" s="33" t="s">
        <v>53</v>
      </c>
      <c r="B59" s="12" t="e">
        <f>E58</f>
        <v>#VALUE!</v>
      </c>
      <c r="C59" s="13">
        <f t="shared" si="5"/>
        <v>1</v>
      </c>
      <c r="D59" s="2">
        <v>0</v>
      </c>
      <c r="E59" s="12" t="e">
        <f t="shared" si="6"/>
        <v>#VALUE!</v>
      </c>
    </row>
    <row r="60" spans="1:5" x14ac:dyDescent="0.25">
      <c r="A60" s="33" t="s">
        <v>54</v>
      </c>
      <c r="B60" s="12" t="e">
        <f>E59</f>
        <v>#VALUE!</v>
      </c>
      <c r="C60" s="13" t="e">
        <f t="shared" si="5"/>
        <v>#VALUE!</v>
      </c>
      <c r="D60" s="17" t="str">
        <f>'PLANNING - Paramètres'!B13</f>
        <v>*</v>
      </c>
      <c r="E60" s="12" t="e">
        <f t="shared" si="6"/>
        <v>#VALUE!</v>
      </c>
    </row>
    <row r="61" spans="1:5" x14ac:dyDescent="0.25">
      <c r="A61" s="33" t="s">
        <v>30</v>
      </c>
      <c r="B61" s="73" t="s">
        <v>80</v>
      </c>
      <c r="C61" s="13">
        <f t="shared" si="5"/>
        <v>1</v>
      </c>
      <c r="D61" s="13">
        <v>0</v>
      </c>
      <c r="E61" s="12" t="e">
        <f t="shared" si="6"/>
        <v>#VALUE!</v>
      </c>
    </row>
    <row r="62" spans="1:5" x14ac:dyDescent="0.25">
      <c r="A62" s="33" t="s">
        <v>31</v>
      </c>
      <c r="B62" s="73" t="s">
        <v>80</v>
      </c>
      <c r="C62" s="13">
        <f t="shared" si="5"/>
        <v>1</v>
      </c>
      <c r="D62" s="13">
        <v>0</v>
      </c>
      <c r="E62" s="12" t="e">
        <f t="shared" si="6"/>
        <v>#VALUE!</v>
      </c>
    </row>
    <row r="63" spans="1:5" x14ac:dyDescent="0.25">
      <c r="A63" s="33" t="s">
        <v>32</v>
      </c>
      <c r="B63" s="73" t="s">
        <v>80</v>
      </c>
      <c r="C63" s="13">
        <f t="shared" si="5"/>
        <v>1</v>
      </c>
      <c r="D63" s="13">
        <v>0</v>
      </c>
      <c r="E63" s="12" t="e">
        <f t="shared" si="6"/>
        <v>#VALUE!</v>
      </c>
    </row>
    <row r="64" spans="1:5" x14ac:dyDescent="0.25">
      <c r="A64" s="33" t="s">
        <v>59</v>
      </c>
      <c r="B64" s="12" t="e">
        <f>E60</f>
        <v>#VALUE!</v>
      </c>
      <c r="C64" s="13" t="e">
        <f t="shared" si="5"/>
        <v>#VALUE!</v>
      </c>
      <c r="D64" s="2">
        <v>1</v>
      </c>
      <c r="E64" s="12" t="e">
        <f t="shared" si="6"/>
        <v>#VALUE!</v>
      </c>
    </row>
    <row r="65" spans="1:6" x14ac:dyDescent="0.25">
      <c r="A65" s="33" t="s">
        <v>79</v>
      </c>
      <c r="B65" s="12" t="e">
        <f>E65</f>
        <v>#VALUE!</v>
      </c>
      <c r="C65" s="13">
        <f t="shared" si="5"/>
        <v>1</v>
      </c>
      <c r="D65" s="13">
        <v>0</v>
      </c>
      <c r="E65" s="12" t="e">
        <f>EDATE(B66,-2)</f>
        <v>#VALUE!</v>
      </c>
    </row>
    <row r="66" spans="1:6" x14ac:dyDescent="0.25">
      <c r="A66" s="32" t="s">
        <v>22</v>
      </c>
      <c r="B66" s="12" t="e">
        <f>E53</f>
        <v>#VALUE!</v>
      </c>
      <c r="C66" s="13">
        <f t="shared" si="5"/>
        <v>1</v>
      </c>
      <c r="D66" s="13">
        <v>0</v>
      </c>
      <c r="E66" s="12" t="e">
        <f>EDATE(B66,D66)</f>
        <v>#VALUE!</v>
      </c>
    </row>
    <row r="67" spans="1:6" x14ac:dyDescent="0.25">
      <c r="A67" s="32" t="s">
        <v>26</v>
      </c>
      <c r="B67" s="12" t="e">
        <f>E66</f>
        <v>#VALUE!</v>
      </c>
      <c r="C67" s="13" t="e">
        <f t="shared" si="5"/>
        <v>#VALUE!</v>
      </c>
      <c r="D67" s="2">
        <v>12</v>
      </c>
      <c r="E67" s="12" t="e">
        <f>EDATE(B67,D67)</f>
        <v>#VALUE!</v>
      </c>
    </row>
    <row r="68" spans="1:6" x14ac:dyDescent="0.25">
      <c r="A68" s="20" t="s">
        <v>45</v>
      </c>
      <c r="B68" s="12">
        <f ca="1">TODAY()</f>
        <v>43480</v>
      </c>
      <c r="C68" s="13">
        <v>1</v>
      </c>
      <c r="D68" s="13">
        <v>0</v>
      </c>
      <c r="E68" s="12">
        <f ca="1">EDATE(B68,D68)</f>
        <v>43480</v>
      </c>
    </row>
    <row r="73" spans="1:6" x14ac:dyDescent="0.25">
      <c r="F73" s="74"/>
    </row>
    <row r="74" spans="1:6" x14ac:dyDescent="0.25">
      <c r="F74" s="72"/>
    </row>
    <row r="75" spans="1:6" x14ac:dyDescent="0.25">
      <c r="F75" s="72"/>
    </row>
    <row r="76" spans="1:6" x14ac:dyDescent="0.25">
      <c r="F76" s="72"/>
    </row>
  </sheetData>
  <sheetProtection password="CBEB" sheet="1" objects="1" scenarios="1"/>
  <pageMargins left="0.7" right="0.7" top="0.75" bottom="0.75" header="0.3" footer="0.3"/>
  <pageSetup paperSize="8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4"/>
    <pageSetUpPr fitToPage="1"/>
  </sheetPr>
  <dimension ref="A1:X60"/>
  <sheetViews>
    <sheetView zoomScale="70" zoomScaleNormal="70" workbookViewId="0">
      <selection activeCell="D49" sqref="D49"/>
    </sheetView>
  </sheetViews>
  <sheetFormatPr baseColWidth="10" defaultRowHeight="15" x14ac:dyDescent="0.25"/>
  <cols>
    <col min="1" max="1" width="45.42578125" style="20" customWidth="1"/>
    <col min="2" max="2" width="12.140625" style="20" customWidth="1"/>
    <col min="3" max="3" width="11.42578125" style="20"/>
    <col min="4" max="4" width="11.42578125" style="20" customWidth="1"/>
    <col min="5" max="7" width="11.42578125" style="20"/>
    <col min="8" max="8" width="15.28515625" style="20" customWidth="1"/>
    <col min="9" max="9" width="13.7109375" style="20" customWidth="1"/>
    <col min="10" max="10" width="16.5703125" style="20" customWidth="1"/>
    <col min="11" max="14" width="11.42578125" style="20"/>
    <col min="15" max="15" width="13.28515625" style="20" customWidth="1"/>
    <col min="16" max="16384" width="11.42578125" style="20"/>
  </cols>
  <sheetData>
    <row r="1" spans="1:24" ht="21" x14ac:dyDescent="0.35">
      <c r="A1" s="35"/>
      <c r="B1" s="5"/>
      <c r="C1" s="5"/>
      <c r="D1" s="5"/>
      <c r="E1" s="5"/>
      <c r="F1" s="5"/>
      <c r="G1" s="5"/>
      <c r="H1" s="5"/>
      <c r="I1" s="5"/>
      <c r="J1" s="21">
        <f>'RETRO PLANNING - Paramètres'!B5</f>
        <v>0</v>
      </c>
      <c r="K1" s="5"/>
      <c r="L1" s="5"/>
      <c r="M1" s="5"/>
      <c r="N1" s="5" t="s">
        <v>46</v>
      </c>
      <c r="O1" s="5"/>
      <c r="P1" s="5"/>
      <c r="Q1" s="5"/>
      <c r="R1" s="5"/>
      <c r="S1" s="5"/>
      <c r="T1" s="38" t="s">
        <v>91</v>
      </c>
      <c r="U1" s="5">
        <f>'RETRO PLANNING - Paramètres'!B9</f>
        <v>0</v>
      </c>
      <c r="V1" s="5"/>
      <c r="W1" s="5"/>
      <c r="X1" s="39"/>
    </row>
    <row r="2" spans="1:24" x14ac:dyDescent="0.25">
      <c r="A2" s="3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40" t="s">
        <v>3</v>
      </c>
      <c r="U2" s="6">
        <f>'RETRO PLANNING - Paramètres'!B10</f>
        <v>0</v>
      </c>
      <c r="V2" s="6"/>
      <c r="W2" s="6"/>
      <c r="X2" s="41"/>
    </row>
    <row r="3" spans="1:24" ht="15.75" x14ac:dyDescent="0.25">
      <c r="A3" s="36"/>
      <c r="B3" s="6"/>
      <c r="C3" s="6"/>
      <c r="D3" s="6"/>
      <c r="E3" s="6"/>
      <c r="F3" s="6"/>
      <c r="G3" s="6"/>
      <c r="H3" s="6"/>
      <c r="I3" s="42" t="s">
        <v>89</v>
      </c>
      <c r="J3" s="6"/>
      <c r="K3" s="4" t="str">
        <f>'RETRO PLANNING - Paramètres'!B7</f>
        <v>*</v>
      </c>
      <c r="L3" s="6"/>
      <c r="M3" s="6"/>
      <c r="N3" s="6"/>
      <c r="O3" s="6"/>
      <c r="P3" s="6"/>
      <c r="Q3" s="6"/>
      <c r="R3" s="6"/>
      <c r="S3" s="6"/>
      <c r="T3" s="40" t="s">
        <v>4</v>
      </c>
      <c r="U3" s="6">
        <f>'RETRO PLANNING - Paramètres'!B6</f>
        <v>0</v>
      </c>
      <c r="V3" s="6"/>
      <c r="W3" s="6"/>
      <c r="X3" s="41"/>
    </row>
    <row r="4" spans="1:24" ht="15.75" x14ac:dyDescent="0.25">
      <c r="A4" s="36"/>
      <c r="B4" s="6"/>
      <c r="C4" s="6"/>
      <c r="D4" s="6"/>
      <c r="E4" s="6"/>
      <c r="F4" s="6"/>
      <c r="G4" s="6"/>
      <c r="H4" s="6"/>
      <c r="I4" s="42" t="s">
        <v>57</v>
      </c>
      <c r="J4" s="4"/>
      <c r="K4" s="26" t="str">
        <f>'RETRO PLANNING - Paramètres'!B8</f>
        <v>*</v>
      </c>
      <c r="L4" s="6"/>
      <c r="M4" s="6"/>
      <c r="N4" s="6"/>
      <c r="O4" s="6"/>
      <c r="P4" s="6"/>
      <c r="Q4" s="6"/>
      <c r="R4" s="6"/>
      <c r="S4" s="6"/>
      <c r="T4" s="40"/>
      <c r="U4" s="6"/>
      <c r="V4" s="6"/>
      <c r="W4" s="6"/>
      <c r="X4" s="41"/>
    </row>
    <row r="5" spans="1:24" ht="15.75" x14ac:dyDescent="0.25">
      <c r="A5" s="36"/>
      <c r="B5" s="6"/>
      <c r="C5" s="6"/>
      <c r="D5" s="6"/>
      <c r="E5" s="6"/>
      <c r="F5" s="6"/>
      <c r="G5" s="6"/>
      <c r="H5" s="6"/>
      <c r="I5" s="42" t="s">
        <v>5</v>
      </c>
      <c r="J5" s="6"/>
      <c r="K5" s="7" t="str">
        <f>'RETRO PLANNING - Paramètres'!B12</f>
        <v>*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41"/>
    </row>
    <row r="6" spans="1:24" ht="15.75" thickBot="1" x14ac:dyDescent="0.3">
      <c r="A6" s="37" t="s">
        <v>105</v>
      </c>
      <c r="B6" s="6"/>
      <c r="C6" s="6"/>
      <c r="D6" s="6"/>
      <c r="E6" s="6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 t="s">
        <v>6</v>
      </c>
      <c r="U6" s="8">
        <f ca="1">'RETRO PLANNING - Paramètres'!B15</f>
        <v>43480</v>
      </c>
      <c r="V6" s="43"/>
      <c r="W6" s="43"/>
      <c r="X6" s="44"/>
    </row>
    <row r="7" spans="1:24" ht="30.75" thickBot="1" x14ac:dyDescent="0.3">
      <c r="A7" s="27" t="s">
        <v>7</v>
      </c>
      <c r="B7" s="28" t="s">
        <v>8</v>
      </c>
      <c r="C7" s="29" t="s">
        <v>28</v>
      </c>
      <c r="D7" s="30" t="s">
        <v>27</v>
      </c>
      <c r="E7" s="28" t="s">
        <v>9</v>
      </c>
    </row>
    <row r="8" spans="1:24" ht="15.75" thickBot="1" x14ac:dyDescent="0.3">
      <c r="A8" s="31" t="s">
        <v>10</v>
      </c>
      <c r="B8" s="9" t="e">
        <f>B9</f>
        <v>#VALUE!</v>
      </c>
      <c r="C8" s="10" t="e">
        <f>IF(D8="0",C8="1",DATEDIF(B8,E8,"d"))</f>
        <v>#VALUE!</v>
      </c>
      <c r="D8" s="11">
        <f>SUM(D9:D14)</f>
        <v>13</v>
      </c>
      <c r="E8" s="18" t="e">
        <f>B25</f>
        <v>#VALUE!</v>
      </c>
    </row>
    <row r="9" spans="1:24" x14ac:dyDescent="0.25">
      <c r="A9" s="32" t="s">
        <v>50</v>
      </c>
      <c r="B9" s="12" t="e">
        <f>EDATE(E9,-D9)</f>
        <v>#VALUE!</v>
      </c>
      <c r="C9" s="13">
        <f t="shared" ref="C9:C59" si="0">IF(D9=0, 1,DATEDIF(B9,E9,"d"))</f>
        <v>1</v>
      </c>
      <c r="D9" s="19">
        <v>0</v>
      </c>
      <c r="E9" s="12" t="e">
        <f>B10</f>
        <v>#VALUE!</v>
      </c>
    </row>
    <row r="10" spans="1:24" x14ac:dyDescent="0.25">
      <c r="A10" s="32" t="s">
        <v>25</v>
      </c>
      <c r="B10" s="12" t="e">
        <f>EDATE(E10,-D10)</f>
        <v>#VALUE!</v>
      </c>
      <c r="C10" s="13" t="e">
        <f t="shared" si="0"/>
        <v>#VALUE!</v>
      </c>
      <c r="D10" s="2">
        <v>3</v>
      </c>
      <c r="E10" s="12" t="e">
        <f t="shared" ref="E10:E41" si="1">B11</f>
        <v>#VALUE!</v>
      </c>
    </row>
    <row r="11" spans="1:24" x14ac:dyDescent="0.25">
      <c r="A11" s="32" t="s">
        <v>88</v>
      </c>
      <c r="B11" s="12" t="e">
        <f t="shared" ref="B11:B44" si="2">EDATE(E11,-D11)</f>
        <v>#VALUE!</v>
      </c>
      <c r="C11" s="13" t="e">
        <f t="shared" si="0"/>
        <v>#VALUE!</v>
      </c>
      <c r="D11" s="2">
        <v>2</v>
      </c>
      <c r="E11" s="12" t="e">
        <f>B12</f>
        <v>#VALUE!</v>
      </c>
    </row>
    <row r="12" spans="1:24" x14ac:dyDescent="0.25">
      <c r="A12" s="33" t="s">
        <v>23</v>
      </c>
      <c r="B12" s="12" t="e">
        <f t="shared" si="2"/>
        <v>#VALUE!</v>
      </c>
      <c r="C12" s="13">
        <f t="shared" si="0"/>
        <v>1</v>
      </c>
      <c r="D12" s="13">
        <v>0</v>
      </c>
      <c r="E12" s="12" t="e">
        <f t="shared" si="1"/>
        <v>#VALUE!</v>
      </c>
    </row>
    <row r="13" spans="1:24" x14ac:dyDescent="0.25">
      <c r="A13" s="32" t="s">
        <v>78</v>
      </c>
      <c r="B13" s="12" t="e">
        <f t="shared" si="2"/>
        <v>#VALUE!</v>
      </c>
      <c r="C13" s="13" t="e">
        <f t="shared" si="0"/>
        <v>#VALUE!</v>
      </c>
      <c r="D13" s="13">
        <f>IF(K4&gt;=15000000,3,IF(K4&gt;=1000000,2,IF(K4&lt;=500000,1,0)))</f>
        <v>3</v>
      </c>
      <c r="E13" s="12" t="e">
        <f t="shared" si="1"/>
        <v>#VALUE!</v>
      </c>
    </row>
    <row r="14" spans="1:24" x14ac:dyDescent="0.25">
      <c r="A14" s="32" t="s">
        <v>11</v>
      </c>
      <c r="B14" s="12" t="e">
        <f t="shared" si="2"/>
        <v>#VALUE!</v>
      </c>
      <c r="C14" s="13" t="e">
        <f t="shared" si="0"/>
        <v>#VALUE!</v>
      </c>
      <c r="D14" s="2">
        <v>5</v>
      </c>
      <c r="E14" s="12" t="e">
        <f>E8</f>
        <v>#VALUE!</v>
      </c>
    </row>
    <row r="15" spans="1:24" x14ac:dyDescent="0.25">
      <c r="A15" s="31" t="s">
        <v>19</v>
      </c>
      <c r="B15" s="9" t="e">
        <f>B16</f>
        <v>#VALUE!</v>
      </c>
      <c r="C15" s="14" t="e">
        <f t="shared" si="0"/>
        <v>#VALUE!</v>
      </c>
      <c r="D15" s="14" t="e">
        <f>DATEDIF(B15,E15,"m")</f>
        <v>#VALUE!</v>
      </c>
      <c r="E15" s="9" t="str">
        <f>E34</f>
        <v>*</v>
      </c>
    </row>
    <row r="16" spans="1:24" x14ac:dyDescent="0.25">
      <c r="A16" s="32" t="s">
        <v>12</v>
      </c>
      <c r="B16" s="12" t="e">
        <f t="shared" si="2"/>
        <v>#VALUE!</v>
      </c>
      <c r="C16" s="13">
        <f t="shared" si="0"/>
        <v>1</v>
      </c>
      <c r="D16" s="13">
        <v>0</v>
      </c>
      <c r="E16" s="12" t="e">
        <f>B17</f>
        <v>#VALUE!</v>
      </c>
    </row>
    <row r="17" spans="1:5" x14ac:dyDescent="0.25">
      <c r="A17" s="33" t="s">
        <v>83</v>
      </c>
      <c r="B17" s="12" t="e">
        <f t="shared" si="2"/>
        <v>#VALUE!</v>
      </c>
      <c r="C17" s="13">
        <f t="shared" si="0"/>
        <v>1</v>
      </c>
      <c r="D17" s="13">
        <v>0</v>
      </c>
      <c r="E17" s="12" t="e">
        <f>B18</f>
        <v>#VALUE!</v>
      </c>
    </row>
    <row r="18" spans="1:5" x14ac:dyDescent="0.25">
      <c r="A18" s="32" t="s">
        <v>72</v>
      </c>
      <c r="B18" s="12" t="e">
        <f t="shared" si="2"/>
        <v>#VALUE!</v>
      </c>
      <c r="C18" s="13">
        <f t="shared" si="0"/>
        <v>1</v>
      </c>
      <c r="D18" s="13">
        <v>0</v>
      </c>
      <c r="E18" s="12" t="e">
        <f t="shared" si="1"/>
        <v>#VALUE!</v>
      </c>
    </row>
    <row r="19" spans="1:5" x14ac:dyDescent="0.25">
      <c r="A19" s="32" t="s">
        <v>73</v>
      </c>
      <c r="B19" s="12" t="e">
        <f t="shared" si="2"/>
        <v>#VALUE!</v>
      </c>
      <c r="C19" s="13" t="e">
        <f t="shared" si="0"/>
        <v>#VALUE!</v>
      </c>
      <c r="D19" s="2">
        <v>1</v>
      </c>
      <c r="E19" s="12" t="e">
        <f>B25</f>
        <v>#VALUE!</v>
      </c>
    </row>
    <row r="20" spans="1:5" x14ac:dyDescent="0.25">
      <c r="A20" s="33" t="s">
        <v>77</v>
      </c>
      <c r="B20" s="12" t="e">
        <f>B24</f>
        <v>#VALUE!</v>
      </c>
      <c r="C20" s="13" t="e">
        <f>DATEDIF(B20,E20,"d")</f>
        <v>#VALUE!</v>
      </c>
      <c r="D20" s="13">
        <v>0</v>
      </c>
      <c r="E20" s="12" t="str">
        <f>E15</f>
        <v>*</v>
      </c>
    </row>
    <row r="21" spans="1:5" x14ac:dyDescent="0.25">
      <c r="A21" s="31" t="s">
        <v>13</v>
      </c>
      <c r="B21" s="9" t="e">
        <f>B22</f>
        <v>#VALUE!</v>
      </c>
      <c r="C21" s="14" t="e">
        <f t="shared" si="0"/>
        <v>#VALUE!</v>
      </c>
      <c r="D21" s="14">
        <v>1</v>
      </c>
      <c r="E21" s="9" t="e">
        <f>E24</f>
        <v>#VALUE!</v>
      </c>
    </row>
    <row r="22" spans="1:5" x14ac:dyDescent="0.25">
      <c r="A22" s="33" t="s">
        <v>74</v>
      </c>
      <c r="B22" s="12" t="e">
        <f>EDATE(B8,12)</f>
        <v>#VALUE!</v>
      </c>
      <c r="C22" s="13">
        <f t="shared" si="0"/>
        <v>1</v>
      </c>
      <c r="D22" s="13">
        <v>0</v>
      </c>
      <c r="E22" s="12" t="e">
        <f t="shared" si="1"/>
        <v>#VALUE!</v>
      </c>
    </row>
    <row r="23" spans="1:5" x14ac:dyDescent="0.25">
      <c r="A23" s="33" t="s">
        <v>75</v>
      </c>
      <c r="B23" s="12" t="e">
        <f>EDATE(B8,24)</f>
        <v>#VALUE!</v>
      </c>
      <c r="C23" s="13">
        <f t="shared" si="0"/>
        <v>1</v>
      </c>
      <c r="D23" s="13">
        <v>0</v>
      </c>
      <c r="E23" s="12" t="e">
        <f t="shared" si="1"/>
        <v>#VALUE!</v>
      </c>
    </row>
    <row r="24" spans="1:5" ht="15.75" thickBot="1" x14ac:dyDescent="0.3">
      <c r="A24" s="33" t="s">
        <v>14</v>
      </c>
      <c r="B24" s="12" t="e">
        <f>EDATE(B45,-3)</f>
        <v>#VALUE!</v>
      </c>
      <c r="C24" s="13">
        <f t="shared" si="0"/>
        <v>1</v>
      </c>
      <c r="D24" s="15">
        <v>0</v>
      </c>
      <c r="E24" s="12" t="e">
        <f>B24</f>
        <v>#VALUE!</v>
      </c>
    </row>
    <row r="25" spans="1:5" ht="15.75" thickBot="1" x14ac:dyDescent="0.3">
      <c r="A25" s="31" t="s">
        <v>33</v>
      </c>
      <c r="B25" s="9" t="e">
        <f t="shared" si="2"/>
        <v>#VALUE!</v>
      </c>
      <c r="C25" s="10" t="e">
        <f t="shared" si="0"/>
        <v>#VALUE!</v>
      </c>
      <c r="D25" s="11">
        <f>SUM(D26:D31)</f>
        <v>19</v>
      </c>
      <c r="E25" s="18" t="e">
        <f>B32</f>
        <v>#VALUE!</v>
      </c>
    </row>
    <row r="26" spans="1:5" x14ac:dyDescent="0.25">
      <c r="A26" s="33" t="s">
        <v>82</v>
      </c>
      <c r="B26" s="12" t="e">
        <f t="shared" si="2"/>
        <v>#VALUE!</v>
      </c>
      <c r="C26" s="13" t="e">
        <f t="shared" si="0"/>
        <v>#VALUE!</v>
      </c>
      <c r="D26" s="2">
        <v>1</v>
      </c>
      <c r="E26" s="12" t="e">
        <f>B27</f>
        <v>#VALUE!</v>
      </c>
    </row>
    <row r="27" spans="1:5" x14ac:dyDescent="0.25">
      <c r="A27" s="32" t="s">
        <v>76</v>
      </c>
      <c r="B27" s="12" t="e">
        <f t="shared" si="2"/>
        <v>#VALUE!</v>
      </c>
      <c r="C27" s="13">
        <f t="shared" si="0"/>
        <v>1</v>
      </c>
      <c r="D27" s="19">
        <v>0</v>
      </c>
      <c r="E27" s="12" t="e">
        <f t="shared" si="1"/>
        <v>#VALUE!</v>
      </c>
    </row>
    <row r="28" spans="1:5" x14ac:dyDescent="0.25">
      <c r="A28" s="32" t="s">
        <v>39</v>
      </c>
      <c r="B28" s="12" t="e">
        <f t="shared" si="2"/>
        <v>#VALUE!</v>
      </c>
      <c r="C28" s="13" t="e">
        <f t="shared" si="0"/>
        <v>#VALUE!</v>
      </c>
      <c r="D28" s="2">
        <v>12</v>
      </c>
      <c r="E28" s="12" t="e">
        <f t="shared" si="1"/>
        <v>#VALUE!</v>
      </c>
    </row>
    <row r="29" spans="1:5" x14ac:dyDescent="0.25">
      <c r="A29" s="32" t="s">
        <v>87</v>
      </c>
      <c r="B29" s="12" t="e">
        <f t="shared" si="2"/>
        <v>#VALUE!</v>
      </c>
      <c r="C29" s="13" t="e">
        <f t="shared" si="0"/>
        <v>#VALUE!</v>
      </c>
      <c r="D29" s="2">
        <v>3</v>
      </c>
      <c r="E29" s="12" t="e">
        <f>B30</f>
        <v>#VALUE!</v>
      </c>
    </row>
    <row r="30" spans="1:5" x14ac:dyDescent="0.25">
      <c r="A30" s="33" t="s">
        <v>23</v>
      </c>
      <c r="B30" s="12" t="e">
        <f>EDATE(E30,-D30)</f>
        <v>#VALUE!</v>
      </c>
      <c r="C30" s="13">
        <f t="shared" si="0"/>
        <v>1</v>
      </c>
      <c r="D30" s="13">
        <v>0</v>
      </c>
      <c r="E30" s="12" t="e">
        <f>B31</f>
        <v>#VALUE!</v>
      </c>
    </row>
    <row r="31" spans="1:5" ht="15.75" thickBot="1" x14ac:dyDescent="0.3">
      <c r="A31" s="32" t="s">
        <v>78</v>
      </c>
      <c r="B31" s="12" t="e">
        <f t="shared" si="2"/>
        <v>#VALUE!</v>
      </c>
      <c r="C31" s="13" t="e">
        <f t="shared" si="0"/>
        <v>#VALUE!</v>
      </c>
      <c r="D31" s="15">
        <f>IF(K4&gt;=15000000,3,IF(K4&gt;=1000000,2,IF(K4&lt;=500000,1,0)))</f>
        <v>3</v>
      </c>
      <c r="E31" s="12" t="e">
        <f>E25</f>
        <v>#VALUE!</v>
      </c>
    </row>
    <row r="32" spans="1:5" ht="15.75" thickBot="1" x14ac:dyDescent="0.3">
      <c r="A32" s="31" t="s">
        <v>17</v>
      </c>
      <c r="B32" s="9" t="e">
        <f>B33</f>
        <v>#VALUE!</v>
      </c>
      <c r="C32" s="10" t="e">
        <f t="shared" si="0"/>
        <v>#VALUE!</v>
      </c>
      <c r="D32" s="11">
        <f>SUM(D34,D45,D59)</f>
        <v>22.698333333333331</v>
      </c>
      <c r="E32" s="18" t="e">
        <f>E59</f>
        <v>#VALUE!</v>
      </c>
    </row>
    <row r="33" spans="1:5" ht="15.75" thickBot="1" x14ac:dyDescent="0.3">
      <c r="A33" s="32" t="s">
        <v>50</v>
      </c>
      <c r="B33" s="12" t="e">
        <f>EDATE(E33,-D33)</f>
        <v>#VALUE!</v>
      </c>
      <c r="C33" s="13">
        <f t="shared" si="0"/>
        <v>1</v>
      </c>
      <c r="D33" s="22">
        <v>0</v>
      </c>
      <c r="E33" s="12" t="e">
        <f>B34</f>
        <v>#VALUE!</v>
      </c>
    </row>
    <row r="34" spans="1:5" ht="15.75" thickBot="1" x14ac:dyDescent="0.3">
      <c r="A34" s="31" t="s">
        <v>18</v>
      </c>
      <c r="B34" s="9" t="e">
        <f>B35</f>
        <v>#VALUE!</v>
      </c>
      <c r="C34" s="10" t="e">
        <f>IF(D31=0, 1,DATEDIF(B34,E34,"d"))</f>
        <v>#VALUE!</v>
      </c>
      <c r="D34" s="11">
        <f>SUM(D35:D44)</f>
        <v>13.698333333333332</v>
      </c>
      <c r="E34" s="18" t="str">
        <f>B45</f>
        <v>*</v>
      </c>
    </row>
    <row r="35" spans="1:5" x14ac:dyDescent="0.25">
      <c r="A35" s="33" t="s">
        <v>38</v>
      </c>
      <c r="B35" s="12" t="e">
        <f t="shared" ref="B35:B43" si="3">E35-C35</f>
        <v>#VALUE!</v>
      </c>
      <c r="C35" s="13">
        <f>D35*30</f>
        <v>150</v>
      </c>
      <c r="D35" s="23">
        <v>5</v>
      </c>
      <c r="E35" s="12" t="e">
        <f t="shared" ref="E35:E40" si="4">B36</f>
        <v>#VALUE!</v>
      </c>
    </row>
    <row r="36" spans="1:5" x14ac:dyDescent="0.25">
      <c r="A36" s="33" t="s">
        <v>35</v>
      </c>
      <c r="B36" s="12" t="e">
        <f t="shared" si="3"/>
        <v>#VALUE!</v>
      </c>
      <c r="C36" s="13">
        <f>IF(K3&gt;=5000000,81,IF(K3&gt;=1000000,31,IF(K3&lt;1000000,17,0)))</f>
        <v>81</v>
      </c>
      <c r="D36" s="13">
        <f>C36/30</f>
        <v>2.7</v>
      </c>
      <c r="E36" s="12" t="e">
        <f t="shared" si="4"/>
        <v>#VALUE!</v>
      </c>
    </row>
    <row r="37" spans="1:5" x14ac:dyDescent="0.25">
      <c r="A37" s="33" t="s">
        <v>41</v>
      </c>
      <c r="B37" s="12" t="e">
        <f t="shared" si="3"/>
        <v>#VALUE!</v>
      </c>
      <c r="C37" s="13">
        <f>D37*30</f>
        <v>15</v>
      </c>
      <c r="D37" s="2">
        <v>0.5</v>
      </c>
      <c r="E37" s="12" t="e">
        <f t="shared" si="4"/>
        <v>#VALUE!</v>
      </c>
    </row>
    <row r="38" spans="1:5" x14ac:dyDescent="0.25">
      <c r="A38" s="33" t="s">
        <v>36</v>
      </c>
      <c r="B38" s="12" t="e">
        <f t="shared" si="3"/>
        <v>#VALUE!</v>
      </c>
      <c r="C38" s="13">
        <f>D38*30</f>
        <v>15</v>
      </c>
      <c r="D38" s="2">
        <v>0.5</v>
      </c>
      <c r="E38" s="12" t="e">
        <f t="shared" si="4"/>
        <v>#VALUE!</v>
      </c>
    </row>
    <row r="39" spans="1:5" x14ac:dyDescent="0.25">
      <c r="A39" s="33" t="s">
        <v>43</v>
      </c>
      <c r="B39" s="12" t="e">
        <f t="shared" si="3"/>
        <v>#VALUE!</v>
      </c>
      <c r="C39" s="13">
        <f>IF(K3&gt;=5000000,94,IF(K3&gt;=1000000,94,IF(K3&lt;1000000,69,0)))</f>
        <v>94</v>
      </c>
      <c r="D39" s="13">
        <f>C39/30</f>
        <v>3.1333333333333333</v>
      </c>
      <c r="E39" s="12" t="e">
        <f t="shared" si="4"/>
        <v>#VALUE!</v>
      </c>
    </row>
    <row r="40" spans="1:5" x14ac:dyDescent="0.25">
      <c r="A40" s="33" t="s">
        <v>42</v>
      </c>
      <c r="B40" s="12" t="e">
        <f t="shared" si="3"/>
        <v>#VALUE!</v>
      </c>
      <c r="C40" s="13">
        <f>D40*30</f>
        <v>15</v>
      </c>
      <c r="D40" s="2">
        <v>0.5</v>
      </c>
      <c r="E40" s="12" t="e">
        <f t="shared" si="4"/>
        <v>#VALUE!</v>
      </c>
    </row>
    <row r="41" spans="1:5" x14ac:dyDescent="0.25">
      <c r="A41" s="33" t="s">
        <v>36</v>
      </c>
      <c r="B41" s="12" t="e">
        <f t="shared" si="3"/>
        <v>#VALUE!</v>
      </c>
      <c r="C41" s="13">
        <f>D41*30</f>
        <v>15</v>
      </c>
      <c r="D41" s="2">
        <v>0.5</v>
      </c>
      <c r="E41" s="12" t="e">
        <f t="shared" si="1"/>
        <v>#VALUE!</v>
      </c>
    </row>
    <row r="42" spans="1:5" x14ac:dyDescent="0.25">
      <c r="A42" s="33" t="s">
        <v>37</v>
      </c>
      <c r="B42" s="12" t="e">
        <f t="shared" si="3"/>
        <v>#VALUE!</v>
      </c>
      <c r="C42" s="13">
        <v>15</v>
      </c>
      <c r="D42" s="13">
        <v>0.5</v>
      </c>
      <c r="E42" s="12" t="e">
        <f>B43</f>
        <v>#VALUE!</v>
      </c>
    </row>
    <row r="43" spans="1:5" x14ac:dyDescent="0.25">
      <c r="A43" s="33" t="s">
        <v>58</v>
      </c>
      <c r="B43" s="12" t="e">
        <f t="shared" si="3"/>
        <v>#VALUE!</v>
      </c>
      <c r="C43" s="13">
        <f>D43*30</f>
        <v>10.95</v>
      </c>
      <c r="D43" s="13">
        <v>0.36499999999999999</v>
      </c>
      <c r="E43" s="12" t="e">
        <f>B44</f>
        <v>#VALUE!</v>
      </c>
    </row>
    <row r="44" spans="1:5" ht="15.75" thickBot="1" x14ac:dyDescent="0.3">
      <c r="A44" s="32" t="s">
        <v>20</v>
      </c>
      <c r="B44" s="12" t="e">
        <f t="shared" si="2"/>
        <v>#VALUE!</v>
      </c>
      <c r="C44" s="13">
        <f t="shared" si="0"/>
        <v>1</v>
      </c>
      <c r="D44" s="13">
        <v>0</v>
      </c>
      <c r="E44" s="12" t="str">
        <f>E34</f>
        <v>*</v>
      </c>
    </row>
    <row r="45" spans="1:5" ht="15.75" thickBot="1" x14ac:dyDescent="0.3">
      <c r="A45" s="31" t="s">
        <v>21</v>
      </c>
      <c r="B45" s="16" t="str">
        <f>'RETRO PLANNING - Paramètres'!B12</f>
        <v>*</v>
      </c>
      <c r="C45" s="10" t="e">
        <f t="shared" si="0"/>
        <v>#VALUE!</v>
      </c>
      <c r="D45" s="11">
        <f>SUM(D46:D58)</f>
        <v>3</v>
      </c>
      <c r="E45" s="18" t="e">
        <f t="shared" ref="E45:E60" si="5">EDATE(B45,D45)</f>
        <v>#VALUE!</v>
      </c>
    </row>
    <row r="46" spans="1:5" x14ac:dyDescent="0.25">
      <c r="A46" s="33" t="s">
        <v>48</v>
      </c>
      <c r="B46" s="12" t="str">
        <f>B45</f>
        <v>*</v>
      </c>
      <c r="C46" s="13">
        <f>IF(D46=0, 1,DATEDIF(B46,E46,"d"))</f>
        <v>1</v>
      </c>
      <c r="D46" s="13">
        <v>0</v>
      </c>
      <c r="E46" s="12" t="e">
        <f t="shared" ref="E46:E47" si="6">EDATE(B46,D46)</f>
        <v>#VALUE!</v>
      </c>
    </row>
    <row r="47" spans="1:5" x14ac:dyDescent="0.25">
      <c r="A47" s="33" t="s">
        <v>51</v>
      </c>
      <c r="B47" s="12" t="e">
        <f>E46</f>
        <v>#VALUE!</v>
      </c>
      <c r="C47" s="13" t="e">
        <f t="shared" ref="C47" si="7">IF(D47=0, 1,DATEDIF(B47,E47,"d"))</f>
        <v>#VALUE!</v>
      </c>
      <c r="D47" s="2">
        <v>2</v>
      </c>
      <c r="E47" s="12" t="e">
        <f t="shared" si="6"/>
        <v>#VALUE!</v>
      </c>
    </row>
    <row r="48" spans="1:5" x14ac:dyDescent="0.25">
      <c r="A48" s="33" t="s">
        <v>50</v>
      </c>
      <c r="B48" s="12" t="e">
        <f>B47</f>
        <v>#VALUE!</v>
      </c>
      <c r="C48" s="13">
        <f t="shared" ref="C48" si="8">IF(D48=0, 1,DATEDIF(B48,E48,"d"))</f>
        <v>1</v>
      </c>
      <c r="D48" s="13">
        <v>0</v>
      </c>
      <c r="E48" s="12" t="e">
        <f t="shared" ref="E48:E49" si="9">EDATE(B48,D48)</f>
        <v>#VALUE!</v>
      </c>
    </row>
    <row r="49" spans="1:5" x14ac:dyDescent="0.25">
      <c r="A49" s="33" t="s">
        <v>29</v>
      </c>
      <c r="B49" s="12" t="e">
        <f>E48</f>
        <v>#VALUE!</v>
      </c>
      <c r="C49" s="13">
        <f>IF(D49=0, 1,DATEDIF(B49,E49,"d"))</f>
        <v>1</v>
      </c>
      <c r="D49" s="13">
        <v>0</v>
      </c>
      <c r="E49" s="12" t="e">
        <f t="shared" si="9"/>
        <v>#VALUE!</v>
      </c>
    </row>
    <row r="50" spans="1:5" x14ac:dyDescent="0.25">
      <c r="A50" s="33" t="s">
        <v>55</v>
      </c>
      <c r="B50" s="12" t="e">
        <f>E47</f>
        <v>#VALUE!</v>
      </c>
      <c r="C50" s="13">
        <f t="shared" ref="C50" si="10">IF(D50=0, 1,DATEDIF(B50,E50,"d"))</f>
        <v>1</v>
      </c>
      <c r="D50" s="2">
        <v>0</v>
      </c>
      <c r="E50" s="12" t="e">
        <f t="shared" ref="E50" si="11">EDATE(B50,D50)</f>
        <v>#VALUE!</v>
      </c>
    </row>
    <row r="51" spans="1:5" x14ac:dyDescent="0.25">
      <c r="A51" s="33" t="s">
        <v>53</v>
      </c>
      <c r="B51" s="12" t="e">
        <f>E50</f>
        <v>#VALUE!</v>
      </c>
      <c r="C51" s="13">
        <f t="shared" ref="C51" si="12">IF(D51=0, 1,DATEDIF(B51,E51,"d"))</f>
        <v>1</v>
      </c>
      <c r="D51" s="2">
        <v>0</v>
      </c>
      <c r="E51" s="12" t="e">
        <f t="shared" ref="E51" si="13">EDATE(B51,D51)</f>
        <v>#VALUE!</v>
      </c>
    </row>
    <row r="52" spans="1:5" x14ac:dyDescent="0.25">
      <c r="A52" s="33" t="s">
        <v>52</v>
      </c>
      <c r="B52" s="12" t="e">
        <f>E51</f>
        <v>#VALUE!</v>
      </c>
      <c r="C52" s="13" t="e">
        <f t="shared" ref="C52" si="14">IF(D52=0, 1,DATEDIF(B52,E52,"d"))</f>
        <v>#VALUE!</v>
      </c>
      <c r="D52" s="17" t="str">
        <f>'RETRO PLANNING - Paramètres'!B13</f>
        <v>*</v>
      </c>
      <c r="E52" s="12" t="e">
        <f t="shared" ref="E52" si="15">EDATE(B52,D52)</f>
        <v>#VALUE!</v>
      </c>
    </row>
    <row r="53" spans="1:5" x14ac:dyDescent="0.25">
      <c r="A53" s="33" t="s">
        <v>30</v>
      </c>
      <c r="B53" s="73" t="s">
        <v>80</v>
      </c>
      <c r="C53" s="13">
        <f t="shared" si="0"/>
        <v>1</v>
      </c>
      <c r="D53" s="13">
        <v>0</v>
      </c>
      <c r="E53" s="12" t="e">
        <f t="shared" si="5"/>
        <v>#VALUE!</v>
      </c>
    </row>
    <row r="54" spans="1:5" x14ac:dyDescent="0.25">
      <c r="A54" s="33" t="s">
        <v>31</v>
      </c>
      <c r="B54" s="73" t="s">
        <v>80</v>
      </c>
      <c r="C54" s="13">
        <f t="shared" si="0"/>
        <v>1</v>
      </c>
      <c r="D54" s="13">
        <v>0</v>
      </c>
      <c r="E54" s="12" t="e">
        <f t="shared" si="5"/>
        <v>#VALUE!</v>
      </c>
    </row>
    <row r="55" spans="1:5" x14ac:dyDescent="0.25">
      <c r="A55" s="33" t="s">
        <v>32</v>
      </c>
      <c r="B55" s="73" t="s">
        <v>80</v>
      </c>
      <c r="C55" s="13">
        <f t="shared" si="0"/>
        <v>1</v>
      </c>
      <c r="D55" s="13">
        <v>0</v>
      </c>
      <c r="E55" s="12" t="e">
        <f t="shared" si="5"/>
        <v>#VALUE!</v>
      </c>
    </row>
    <row r="56" spans="1:5" x14ac:dyDescent="0.25">
      <c r="A56" s="33" t="s">
        <v>59</v>
      </c>
      <c r="B56" s="12" t="e">
        <f>E52</f>
        <v>#VALUE!</v>
      </c>
      <c r="C56" s="13" t="e">
        <f t="shared" si="0"/>
        <v>#VALUE!</v>
      </c>
      <c r="D56" s="2">
        <v>1</v>
      </c>
      <c r="E56" s="12" t="e">
        <f t="shared" si="5"/>
        <v>#VALUE!</v>
      </c>
    </row>
    <row r="57" spans="1:5" x14ac:dyDescent="0.25">
      <c r="A57" s="33" t="s">
        <v>79</v>
      </c>
      <c r="B57" s="12" t="e">
        <f>E57</f>
        <v>#VALUE!</v>
      </c>
      <c r="C57" s="13">
        <f t="shared" si="0"/>
        <v>1</v>
      </c>
      <c r="D57" s="13">
        <v>0</v>
      </c>
      <c r="E57" s="12" t="e">
        <f>EDATE(B58,-2)</f>
        <v>#VALUE!</v>
      </c>
    </row>
    <row r="58" spans="1:5" x14ac:dyDescent="0.25">
      <c r="A58" s="32" t="s">
        <v>22</v>
      </c>
      <c r="B58" s="12" t="e">
        <f>E45</f>
        <v>#VALUE!</v>
      </c>
      <c r="C58" s="13">
        <f t="shared" si="0"/>
        <v>1</v>
      </c>
      <c r="D58" s="13">
        <v>0</v>
      </c>
      <c r="E58" s="12" t="e">
        <f t="shared" si="5"/>
        <v>#VALUE!</v>
      </c>
    </row>
    <row r="59" spans="1:5" x14ac:dyDescent="0.25">
      <c r="A59" s="32" t="s">
        <v>26</v>
      </c>
      <c r="B59" s="12" t="e">
        <f>E58</f>
        <v>#VALUE!</v>
      </c>
      <c r="C59" s="13" t="e">
        <f t="shared" si="0"/>
        <v>#VALUE!</v>
      </c>
      <c r="D59" s="2">
        <v>6</v>
      </c>
      <c r="E59" s="12" t="e">
        <f t="shared" si="5"/>
        <v>#VALUE!</v>
      </c>
    </row>
    <row r="60" spans="1:5" x14ac:dyDescent="0.25">
      <c r="A60" s="20" t="s">
        <v>45</v>
      </c>
      <c r="B60" s="12">
        <f ca="1">TODAY()</f>
        <v>43480</v>
      </c>
      <c r="C60" s="13">
        <v>1</v>
      </c>
      <c r="D60" s="13">
        <v>0</v>
      </c>
      <c r="E60" s="12">
        <f t="shared" ca="1" si="5"/>
        <v>43480</v>
      </c>
    </row>
  </sheetData>
  <sheetProtection password="CBEB" sheet="1" objects="1" scenarios="1"/>
  <pageMargins left="0.7" right="0.7" top="0.75" bottom="0.75" header="0.3" footer="0.3"/>
  <pageSetup paperSize="8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5"/>
    <pageSetUpPr fitToPage="1"/>
  </sheetPr>
  <dimension ref="A1:X61"/>
  <sheetViews>
    <sheetView zoomScale="70" zoomScaleNormal="70" workbookViewId="0">
      <selection activeCell="D61" sqref="D61"/>
    </sheetView>
  </sheetViews>
  <sheetFormatPr baseColWidth="10" defaultRowHeight="15" x14ac:dyDescent="0.25"/>
  <cols>
    <col min="1" max="1" width="45.42578125" style="20" customWidth="1"/>
    <col min="2" max="2" width="12.140625" style="20" customWidth="1"/>
    <col min="3" max="3" width="11.42578125" style="20"/>
    <col min="4" max="4" width="11.42578125" style="20" customWidth="1"/>
    <col min="5" max="7" width="11.42578125" style="20"/>
    <col min="8" max="8" width="15.28515625" style="20" customWidth="1"/>
    <col min="9" max="9" width="13.7109375" style="20" customWidth="1"/>
    <col min="10" max="10" width="16.5703125" style="20" customWidth="1"/>
    <col min="11" max="14" width="11.42578125" style="20"/>
    <col min="15" max="15" width="13.28515625" style="20" customWidth="1"/>
    <col min="16" max="16384" width="11.42578125" style="20"/>
  </cols>
  <sheetData>
    <row r="1" spans="1:24" ht="21" x14ac:dyDescent="0.35">
      <c r="A1" s="35"/>
      <c r="B1" s="5"/>
      <c r="C1" s="5"/>
      <c r="D1" s="5"/>
      <c r="E1" s="5"/>
      <c r="F1" s="5"/>
      <c r="G1" s="5"/>
      <c r="H1" s="5"/>
      <c r="I1" s="5"/>
      <c r="J1" s="21">
        <f>'PLANNING - Paramètres'!B5</f>
        <v>0</v>
      </c>
      <c r="K1" s="5"/>
      <c r="L1" s="5"/>
      <c r="M1" s="5"/>
      <c r="N1" s="5" t="s">
        <v>46</v>
      </c>
      <c r="O1" s="5"/>
      <c r="P1" s="5"/>
      <c r="Q1" s="5"/>
      <c r="R1" s="5"/>
      <c r="S1" s="5"/>
      <c r="T1" s="38" t="s">
        <v>91</v>
      </c>
      <c r="U1" s="5">
        <f>'PLANNING - Paramètres'!B9</f>
        <v>0</v>
      </c>
      <c r="V1" s="5"/>
      <c r="W1" s="5"/>
      <c r="X1" s="39"/>
    </row>
    <row r="2" spans="1:24" x14ac:dyDescent="0.25">
      <c r="A2" s="3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40" t="s">
        <v>3</v>
      </c>
      <c r="U2" s="6">
        <f>'PLANNING - Paramètres'!B10</f>
        <v>0</v>
      </c>
      <c r="V2" s="6"/>
      <c r="W2" s="6"/>
      <c r="X2" s="41"/>
    </row>
    <row r="3" spans="1:24" ht="15.75" x14ac:dyDescent="0.25">
      <c r="A3" s="36"/>
      <c r="B3" s="6"/>
      <c r="C3" s="6"/>
      <c r="D3" s="6"/>
      <c r="E3" s="6"/>
      <c r="F3" s="6"/>
      <c r="G3" s="6"/>
      <c r="H3" s="6"/>
      <c r="I3" s="42" t="s">
        <v>89</v>
      </c>
      <c r="J3" s="6"/>
      <c r="K3" s="4" t="str">
        <f>'PLANNING - Paramètres'!B7</f>
        <v>*</v>
      </c>
      <c r="L3" s="6"/>
      <c r="M3" s="6"/>
      <c r="N3" s="6"/>
      <c r="O3" s="6"/>
      <c r="P3" s="6"/>
      <c r="Q3" s="6"/>
      <c r="R3" s="6"/>
      <c r="S3" s="6"/>
      <c r="T3" s="40" t="s">
        <v>4</v>
      </c>
      <c r="U3" s="6">
        <f>'PLANNING - Paramètres'!B6</f>
        <v>0</v>
      </c>
      <c r="V3" s="6"/>
      <c r="W3" s="6"/>
      <c r="X3" s="41"/>
    </row>
    <row r="4" spans="1:24" ht="15.75" x14ac:dyDescent="0.25">
      <c r="A4" s="36"/>
      <c r="B4" s="6"/>
      <c r="C4" s="6"/>
      <c r="D4" s="6"/>
      <c r="E4" s="6"/>
      <c r="F4" s="6"/>
      <c r="G4" s="6"/>
      <c r="H4" s="6"/>
      <c r="I4" s="42" t="s">
        <v>57</v>
      </c>
      <c r="J4" s="4"/>
      <c r="K4" s="26" t="str">
        <f>'PLANNING - Paramètres'!B8</f>
        <v>*</v>
      </c>
      <c r="L4" s="6"/>
      <c r="M4" s="6"/>
      <c r="N4" s="6"/>
      <c r="O4" s="6"/>
      <c r="P4" s="6"/>
      <c r="Q4" s="6"/>
      <c r="R4" s="6"/>
      <c r="S4" s="6"/>
      <c r="T4" s="40"/>
      <c r="U4" s="6"/>
      <c r="V4" s="6"/>
      <c r="W4" s="6"/>
      <c r="X4" s="41"/>
    </row>
    <row r="5" spans="1:24" x14ac:dyDescent="0.25">
      <c r="A5" s="36"/>
      <c r="B5" s="6"/>
      <c r="C5" s="6"/>
      <c r="D5" s="6"/>
      <c r="E5" s="6"/>
      <c r="F5" s="6"/>
      <c r="G5" s="6"/>
      <c r="H5" s="6"/>
      <c r="I5" s="40" t="s">
        <v>101</v>
      </c>
      <c r="J5" s="6"/>
      <c r="K5" s="7" t="str">
        <f>'PLANNING - Paramètres'!B12</f>
        <v>*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41"/>
    </row>
    <row r="6" spans="1:24" ht="15.75" thickBot="1" x14ac:dyDescent="0.3">
      <c r="A6" s="37" t="s">
        <v>105</v>
      </c>
      <c r="B6" s="6"/>
      <c r="C6" s="6"/>
      <c r="D6" s="6"/>
      <c r="E6" s="6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 t="s">
        <v>6</v>
      </c>
      <c r="U6" s="8">
        <f ca="1">'PLANNING - Paramètres'!B15</f>
        <v>43480</v>
      </c>
      <c r="V6" s="43"/>
      <c r="W6" s="43"/>
      <c r="X6" s="44"/>
    </row>
    <row r="7" spans="1:24" ht="30" x14ac:dyDescent="0.25">
      <c r="A7" s="76" t="s">
        <v>7</v>
      </c>
      <c r="B7" s="28" t="s">
        <v>8</v>
      </c>
      <c r="C7" s="29" t="s">
        <v>28</v>
      </c>
      <c r="D7" s="28" t="s">
        <v>27</v>
      </c>
      <c r="E7" s="28" t="s">
        <v>9</v>
      </c>
    </row>
    <row r="8" spans="1:24" s="1" customFormat="1" ht="15.75" thickBot="1" x14ac:dyDescent="0.3">
      <c r="A8" s="32" t="s">
        <v>100</v>
      </c>
      <c r="B8" s="12" t="str">
        <f>'PLANNING - Paramètres'!B12</f>
        <v>*</v>
      </c>
      <c r="C8" s="13">
        <f t="shared" ref="C8" si="0">IF(D8=0, 1,DATEDIF(B8,E8,"d"))</f>
        <v>1</v>
      </c>
      <c r="D8" s="19">
        <v>0</v>
      </c>
      <c r="E8" s="12" t="e">
        <f t="shared" ref="E8:E14" si="1">EDATE(B8,D8)</f>
        <v>#VALUE!</v>
      </c>
    </row>
    <row r="9" spans="1:24" ht="15.75" thickBot="1" x14ac:dyDescent="0.3">
      <c r="A9" s="31" t="s">
        <v>10</v>
      </c>
      <c r="B9" s="9" t="e">
        <f>E8</f>
        <v>#VALUE!</v>
      </c>
      <c r="C9" s="10" t="e">
        <f>IF(D9="0",C9="1",DATEDIF(B9,E9,"d"))</f>
        <v>#VALUE!</v>
      </c>
      <c r="D9" s="11">
        <f>SUM(D10:D15)</f>
        <v>13</v>
      </c>
      <c r="E9" s="9" t="e">
        <f t="shared" si="1"/>
        <v>#VALUE!</v>
      </c>
    </row>
    <row r="10" spans="1:24" x14ac:dyDescent="0.25">
      <c r="A10" s="32" t="s">
        <v>50</v>
      </c>
      <c r="B10" s="12" t="e">
        <f>E8</f>
        <v>#VALUE!</v>
      </c>
      <c r="C10" s="13">
        <f t="shared" ref="C10:C60" si="2">IF(D10=0, 1,DATEDIF(B10,E10,"d"))</f>
        <v>1</v>
      </c>
      <c r="D10" s="19">
        <v>0</v>
      </c>
      <c r="E10" s="12" t="e">
        <f t="shared" si="1"/>
        <v>#VALUE!</v>
      </c>
    </row>
    <row r="11" spans="1:24" x14ac:dyDescent="0.25">
      <c r="A11" s="32" t="s">
        <v>25</v>
      </c>
      <c r="B11" s="12" t="e">
        <f>E10</f>
        <v>#VALUE!</v>
      </c>
      <c r="C11" s="13" t="e">
        <f t="shared" si="2"/>
        <v>#VALUE!</v>
      </c>
      <c r="D11" s="2">
        <v>3</v>
      </c>
      <c r="E11" s="12" t="e">
        <f t="shared" si="1"/>
        <v>#VALUE!</v>
      </c>
    </row>
    <row r="12" spans="1:24" x14ac:dyDescent="0.25">
      <c r="A12" s="32" t="s">
        <v>88</v>
      </c>
      <c r="B12" s="12" t="e">
        <f t="shared" ref="B12:B15" si="3">E11</f>
        <v>#VALUE!</v>
      </c>
      <c r="C12" s="13" t="e">
        <f t="shared" si="2"/>
        <v>#VALUE!</v>
      </c>
      <c r="D12" s="2">
        <v>2</v>
      </c>
      <c r="E12" s="12" t="e">
        <f t="shared" si="1"/>
        <v>#VALUE!</v>
      </c>
    </row>
    <row r="13" spans="1:24" x14ac:dyDescent="0.25">
      <c r="A13" s="33" t="s">
        <v>23</v>
      </c>
      <c r="B13" s="12" t="e">
        <f t="shared" si="3"/>
        <v>#VALUE!</v>
      </c>
      <c r="C13" s="13">
        <f t="shared" si="2"/>
        <v>1</v>
      </c>
      <c r="D13" s="13">
        <v>0</v>
      </c>
      <c r="E13" s="12" t="e">
        <f t="shared" si="1"/>
        <v>#VALUE!</v>
      </c>
    </row>
    <row r="14" spans="1:24" x14ac:dyDescent="0.25">
      <c r="A14" s="32" t="s">
        <v>78</v>
      </c>
      <c r="B14" s="12" t="e">
        <f t="shared" si="3"/>
        <v>#VALUE!</v>
      </c>
      <c r="C14" s="13" t="e">
        <f t="shared" si="2"/>
        <v>#VALUE!</v>
      </c>
      <c r="D14" s="13">
        <f>IF(K4&gt;=15000000,3,IF(K4&gt;=1000000,2,IF(K4&lt;=500000,1,0)))</f>
        <v>3</v>
      </c>
      <c r="E14" s="12" t="e">
        <f t="shared" si="1"/>
        <v>#VALUE!</v>
      </c>
    </row>
    <row r="15" spans="1:24" x14ac:dyDescent="0.25">
      <c r="A15" s="32" t="s">
        <v>11</v>
      </c>
      <c r="B15" s="12" t="e">
        <f t="shared" si="3"/>
        <v>#VALUE!</v>
      </c>
      <c r="C15" s="13" t="e">
        <f t="shared" si="2"/>
        <v>#VALUE!</v>
      </c>
      <c r="D15" s="2">
        <v>5</v>
      </c>
      <c r="E15" s="12" t="e">
        <f>E9</f>
        <v>#VALUE!</v>
      </c>
    </row>
    <row r="16" spans="1:24" x14ac:dyDescent="0.25">
      <c r="A16" s="31" t="s">
        <v>19</v>
      </c>
      <c r="B16" s="9" t="e">
        <f>B17</f>
        <v>#VALUE!</v>
      </c>
      <c r="C16" s="14" t="e">
        <f t="shared" si="2"/>
        <v>#VALUE!</v>
      </c>
      <c r="D16" s="14" t="e">
        <f>DATEDIF(B16,E16,"m")</f>
        <v>#VALUE!</v>
      </c>
      <c r="E16" s="9" t="e">
        <f>E35</f>
        <v>#VALUE!</v>
      </c>
    </row>
    <row r="17" spans="1:5" x14ac:dyDescent="0.25">
      <c r="A17" s="32" t="s">
        <v>12</v>
      </c>
      <c r="B17" s="12" t="e">
        <f>EDATE(E17,-D17)</f>
        <v>#VALUE!</v>
      </c>
      <c r="C17" s="13">
        <f t="shared" si="2"/>
        <v>1</v>
      </c>
      <c r="D17" s="13">
        <v>0</v>
      </c>
      <c r="E17" s="12" t="e">
        <f>B18</f>
        <v>#VALUE!</v>
      </c>
    </row>
    <row r="18" spans="1:5" x14ac:dyDescent="0.25">
      <c r="A18" s="33" t="s">
        <v>83</v>
      </c>
      <c r="B18" s="12" t="e">
        <f>EDATE(E18,-D18)</f>
        <v>#VALUE!</v>
      </c>
      <c r="C18" s="13">
        <f t="shared" si="2"/>
        <v>1</v>
      </c>
      <c r="D18" s="13">
        <v>0</v>
      </c>
      <c r="E18" s="12" t="e">
        <f>B19</f>
        <v>#VALUE!</v>
      </c>
    </row>
    <row r="19" spans="1:5" x14ac:dyDescent="0.25">
      <c r="A19" s="32" t="s">
        <v>72</v>
      </c>
      <c r="B19" s="12" t="e">
        <f>EDATE(E19,-D19)</f>
        <v>#VALUE!</v>
      </c>
      <c r="C19" s="13">
        <f t="shared" si="2"/>
        <v>1</v>
      </c>
      <c r="D19" s="13">
        <v>0</v>
      </c>
      <c r="E19" s="12" t="e">
        <f>B20</f>
        <v>#VALUE!</v>
      </c>
    </row>
    <row r="20" spans="1:5" x14ac:dyDescent="0.25">
      <c r="A20" s="32" t="s">
        <v>73</v>
      </c>
      <c r="B20" s="12" t="e">
        <f>EDATE(E20,-D20)</f>
        <v>#VALUE!</v>
      </c>
      <c r="C20" s="13" t="e">
        <f t="shared" si="2"/>
        <v>#VALUE!</v>
      </c>
      <c r="D20" s="2">
        <v>1</v>
      </c>
      <c r="E20" s="12" t="e">
        <f>B26</f>
        <v>#VALUE!</v>
      </c>
    </row>
    <row r="21" spans="1:5" x14ac:dyDescent="0.25">
      <c r="A21" s="33" t="s">
        <v>77</v>
      </c>
      <c r="B21" s="12" t="e">
        <f>B25</f>
        <v>#VALUE!</v>
      </c>
      <c r="C21" s="13" t="e">
        <f>DATEDIF(B21,E21,"d")</f>
        <v>#VALUE!</v>
      </c>
      <c r="D21" s="13" t="e">
        <f>C21/30</f>
        <v>#VALUE!</v>
      </c>
      <c r="E21" s="12" t="e">
        <f>E16</f>
        <v>#VALUE!</v>
      </c>
    </row>
    <row r="22" spans="1:5" x14ac:dyDescent="0.25">
      <c r="A22" s="31" t="s">
        <v>13</v>
      </c>
      <c r="B22" s="9" t="e">
        <f>B23</f>
        <v>#VALUE!</v>
      </c>
      <c r="C22" s="14" t="e">
        <f t="shared" si="2"/>
        <v>#VALUE!</v>
      </c>
      <c r="D22" s="14">
        <v>1</v>
      </c>
      <c r="E22" s="9" t="e">
        <f>E25</f>
        <v>#VALUE!</v>
      </c>
    </row>
    <row r="23" spans="1:5" x14ac:dyDescent="0.25">
      <c r="A23" s="33" t="s">
        <v>74</v>
      </c>
      <c r="B23" s="12" t="e">
        <f>EDATE(B9,12)</f>
        <v>#VALUE!</v>
      </c>
      <c r="C23" s="13">
        <f t="shared" si="2"/>
        <v>1</v>
      </c>
      <c r="D23" s="13">
        <v>0</v>
      </c>
      <c r="E23" s="12" t="e">
        <f>B24</f>
        <v>#VALUE!</v>
      </c>
    </row>
    <row r="24" spans="1:5" x14ac:dyDescent="0.25">
      <c r="A24" s="33" t="s">
        <v>75</v>
      </c>
      <c r="B24" s="12" t="e">
        <f>EDATE(B9,24)</f>
        <v>#VALUE!</v>
      </c>
      <c r="C24" s="13">
        <f t="shared" si="2"/>
        <v>1</v>
      </c>
      <c r="D24" s="13">
        <v>0</v>
      </c>
      <c r="E24" s="12" t="e">
        <f>B25</f>
        <v>#VALUE!</v>
      </c>
    </row>
    <row r="25" spans="1:5" ht="15.75" thickBot="1" x14ac:dyDescent="0.3">
      <c r="A25" s="33" t="s">
        <v>14</v>
      </c>
      <c r="B25" s="12" t="e">
        <f>EDATE(B46,-3)</f>
        <v>#VALUE!</v>
      </c>
      <c r="C25" s="13">
        <f t="shared" si="2"/>
        <v>1</v>
      </c>
      <c r="D25" s="15">
        <v>0</v>
      </c>
      <c r="E25" s="12" t="e">
        <f>B25</f>
        <v>#VALUE!</v>
      </c>
    </row>
    <row r="26" spans="1:5" ht="15.75" thickBot="1" x14ac:dyDescent="0.3">
      <c r="A26" s="31" t="s">
        <v>33</v>
      </c>
      <c r="B26" s="9" t="e">
        <f>E9</f>
        <v>#VALUE!</v>
      </c>
      <c r="C26" s="10" t="e">
        <f t="shared" si="2"/>
        <v>#VALUE!</v>
      </c>
      <c r="D26" s="11">
        <f>SUM(D27:D32)</f>
        <v>19</v>
      </c>
      <c r="E26" s="9" t="e">
        <f t="shared" ref="E26:E37" si="4">EDATE(B26,D26)</f>
        <v>#VALUE!</v>
      </c>
    </row>
    <row r="27" spans="1:5" x14ac:dyDescent="0.25">
      <c r="A27" s="33" t="s">
        <v>82</v>
      </c>
      <c r="B27" s="12" t="e">
        <f>B26</f>
        <v>#VALUE!</v>
      </c>
      <c r="C27" s="13" t="e">
        <f t="shared" si="2"/>
        <v>#VALUE!</v>
      </c>
      <c r="D27" s="2">
        <v>1</v>
      </c>
      <c r="E27" s="12" t="e">
        <f t="shared" si="4"/>
        <v>#VALUE!</v>
      </c>
    </row>
    <row r="28" spans="1:5" x14ac:dyDescent="0.25">
      <c r="A28" s="32" t="s">
        <v>76</v>
      </c>
      <c r="B28" s="12" t="e">
        <f>E27</f>
        <v>#VALUE!</v>
      </c>
      <c r="C28" s="13">
        <f t="shared" si="2"/>
        <v>1</v>
      </c>
      <c r="D28" s="19">
        <v>0</v>
      </c>
      <c r="E28" s="12" t="e">
        <f t="shared" si="4"/>
        <v>#VALUE!</v>
      </c>
    </row>
    <row r="29" spans="1:5" x14ac:dyDescent="0.25">
      <c r="A29" s="32" t="s">
        <v>39</v>
      </c>
      <c r="B29" s="12" t="e">
        <f t="shared" ref="B29:B32" si="5">E28</f>
        <v>#VALUE!</v>
      </c>
      <c r="C29" s="13" t="e">
        <f t="shared" si="2"/>
        <v>#VALUE!</v>
      </c>
      <c r="D29" s="2">
        <v>12</v>
      </c>
      <c r="E29" s="12" t="e">
        <f t="shared" si="4"/>
        <v>#VALUE!</v>
      </c>
    </row>
    <row r="30" spans="1:5" x14ac:dyDescent="0.25">
      <c r="A30" s="32" t="s">
        <v>87</v>
      </c>
      <c r="B30" s="12" t="e">
        <f t="shared" si="5"/>
        <v>#VALUE!</v>
      </c>
      <c r="C30" s="13" t="e">
        <f t="shared" si="2"/>
        <v>#VALUE!</v>
      </c>
      <c r="D30" s="2">
        <v>3</v>
      </c>
      <c r="E30" s="12" t="e">
        <f t="shared" si="4"/>
        <v>#VALUE!</v>
      </c>
    </row>
    <row r="31" spans="1:5" x14ac:dyDescent="0.25">
      <c r="A31" s="33" t="s">
        <v>23</v>
      </c>
      <c r="B31" s="12" t="e">
        <f t="shared" si="5"/>
        <v>#VALUE!</v>
      </c>
      <c r="C31" s="13">
        <f t="shared" si="2"/>
        <v>1</v>
      </c>
      <c r="D31" s="13">
        <v>0</v>
      </c>
      <c r="E31" s="12" t="e">
        <f t="shared" si="4"/>
        <v>#VALUE!</v>
      </c>
    </row>
    <row r="32" spans="1:5" ht="15.75" thickBot="1" x14ac:dyDescent="0.3">
      <c r="A32" s="32" t="s">
        <v>78</v>
      </c>
      <c r="B32" s="12" t="e">
        <f t="shared" si="5"/>
        <v>#VALUE!</v>
      </c>
      <c r="C32" s="13" t="e">
        <f t="shared" si="2"/>
        <v>#VALUE!</v>
      </c>
      <c r="D32" s="15">
        <f>IF(K4&gt;=15000000,3,IF(K4&gt;=1000000,2,IF(K4&lt;=500000,1,0)))</f>
        <v>3</v>
      </c>
      <c r="E32" s="12" t="e">
        <f t="shared" si="4"/>
        <v>#VALUE!</v>
      </c>
    </row>
    <row r="33" spans="1:5" ht="15.75" thickBot="1" x14ac:dyDescent="0.3">
      <c r="A33" s="31" t="s">
        <v>17</v>
      </c>
      <c r="B33" s="9" t="e">
        <f>E26</f>
        <v>#VALUE!</v>
      </c>
      <c r="C33" s="10" t="e">
        <f t="shared" si="2"/>
        <v>#VALUE!</v>
      </c>
      <c r="D33" s="11">
        <f>SUM(D35,D46,D60)</f>
        <v>22.698333333333331</v>
      </c>
      <c r="E33" s="9" t="e">
        <f t="shared" si="4"/>
        <v>#VALUE!</v>
      </c>
    </row>
    <row r="34" spans="1:5" ht="15.75" thickBot="1" x14ac:dyDescent="0.3">
      <c r="A34" s="32" t="s">
        <v>50</v>
      </c>
      <c r="B34" s="12" t="e">
        <f>B33</f>
        <v>#VALUE!</v>
      </c>
      <c r="C34" s="13">
        <f t="shared" si="2"/>
        <v>1</v>
      </c>
      <c r="D34" s="22">
        <v>0</v>
      </c>
      <c r="E34" s="12" t="e">
        <f t="shared" si="4"/>
        <v>#VALUE!</v>
      </c>
    </row>
    <row r="35" spans="1:5" ht="15.75" thickBot="1" x14ac:dyDescent="0.3">
      <c r="A35" s="31" t="s">
        <v>18</v>
      </c>
      <c r="B35" s="9" t="e">
        <f>E34</f>
        <v>#VALUE!</v>
      </c>
      <c r="C35" s="10" t="e">
        <f>IF(D32=0, 1,DATEDIF(B35,E35,"d"))</f>
        <v>#VALUE!</v>
      </c>
      <c r="D35" s="11">
        <f>SUM(D36:D45)</f>
        <v>13.698333333333332</v>
      </c>
      <c r="E35" s="9" t="e">
        <f t="shared" si="4"/>
        <v>#VALUE!</v>
      </c>
    </row>
    <row r="36" spans="1:5" x14ac:dyDescent="0.25">
      <c r="A36" s="33" t="s">
        <v>38</v>
      </c>
      <c r="B36" s="12" t="e">
        <f>B35</f>
        <v>#VALUE!</v>
      </c>
      <c r="C36" s="13" t="e">
        <f t="shared" si="2"/>
        <v>#VALUE!</v>
      </c>
      <c r="D36" s="23">
        <v>5</v>
      </c>
      <c r="E36" s="12" t="e">
        <f t="shared" si="4"/>
        <v>#VALUE!</v>
      </c>
    </row>
    <row r="37" spans="1:5" x14ac:dyDescent="0.25">
      <c r="A37" s="33" t="s">
        <v>35</v>
      </c>
      <c r="B37" s="12" t="e">
        <f>E36</f>
        <v>#VALUE!</v>
      </c>
      <c r="C37" s="13">
        <f>IF(K3&gt;=5000000,81,IF(K3&gt;=1000000,31,IF(K3&lt;1000000,17,0)))</f>
        <v>81</v>
      </c>
      <c r="D37" s="13">
        <f>C37/30</f>
        <v>2.7</v>
      </c>
      <c r="E37" s="12" t="e">
        <f t="shared" si="4"/>
        <v>#VALUE!</v>
      </c>
    </row>
    <row r="38" spans="1:5" x14ac:dyDescent="0.25">
      <c r="A38" s="33" t="s">
        <v>41</v>
      </c>
      <c r="B38" s="12" t="e">
        <f t="shared" ref="B38:B45" si="6">E37</f>
        <v>#VALUE!</v>
      </c>
      <c r="C38" s="13">
        <f>D38*30</f>
        <v>15</v>
      </c>
      <c r="D38" s="2">
        <v>0.5</v>
      </c>
      <c r="E38" s="12" t="e">
        <f>B38+C38</f>
        <v>#VALUE!</v>
      </c>
    </row>
    <row r="39" spans="1:5" x14ac:dyDescent="0.25">
      <c r="A39" s="33" t="s">
        <v>36</v>
      </c>
      <c r="B39" s="12" t="e">
        <f t="shared" si="6"/>
        <v>#VALUE!</v>
      </c>
      <c r="C39" s="13">
        <f>D39*30</f>
        <v>15</v>
      </c>
      <c r="D39" s="2">
        <v>0.5</v>
      </c>
      <c r="E39" s="12" t="e">
        <f>B39+C39</f>
        <v>#VALUE!</v>
      </c>
    </row>
    <row r="40" spans="1:5" x14ac:dyDescent="0.25">
      <c r="A40" s="33" t="s">
        <v>43</v>
      </c>
      <c r="B40" s="12" t="e">
        <f t="shared" si="6"/>
        <v>#VALUE!</v>
      </c>
      <c r="C40" s="13">
        <f>IF(K3&gt;=5000000,94,IF(K3&gt;=1000000,94,IF(K3&lt;1000000,69,0)))</f>
        <v>94</v>
      </c>
      <c r="D40" s="13">
        <f>C40/30</f>
        <v>3.1333333333333333</v>
      </c>
      <c r="E40" s="12" t="e">
        <f t="shared" ref="E40" si="7">EDATE(B40,D40)</f>
        <v>#VALUE!</v>
      </c>
    </row>
    <row r="41" spans="1:5" x14ac:dyDescent="0.25">
      <c r="A41" s="33" t="s">
        <v>42</v>
      </c>
      <c r="B41" s="12" t="e">
        <f t="shared" si="6"/>
        <v>#VALUE!</v>
      </c>
      <c r="C41" s="13">
        <f>D41*30</f>
        <v>15</v>
      </c>
      <c r="D41" s="2">
        <v>0.5</v>
      </c>
      <c r="E41" s="12" t="e">
        <f>B41+C41</f>
        <v>#VALUE!</v>
      </c>
    </row>
    <row r="42" spans="1:5" x14ac:dyDescent="0.25">
      <c r="A42" s="33" t="s">
        <v>36</v>
      </c>
      <c r="B42" s="12" t="e">
        <f t="shared" si="6"/>
        <v>#VALUE!</v>
      </c>
      <c r="C42" s="13">
        <f>D42*30</f>
        <v>15</v>
      </c>
      <c r="D42" s="2">
        <v>0.5</v>
      </c>
      <c r="E42" s="12" t="e">
        <f>B42+C42</f>
        <v>#VALUE!</v>
      </c>
    </row>
    <row r="43" spans="1:5" x14ac:dyDescent="0.25">
      <c r="A43" s="33" t="s">
        <v>37</v>
      </c>
      <c r="B43" s="12" t="e">
        <f t="shared" si="6"/>
        <v>#VALUE!</v>
      </c>
      <c r="C43" s="13">
        <f>D43*30</f>
        <v>15</v>
      </c>
      <c r="D43" s="13">
        <v>0.5</v>
      </c>
      <c r="E43" s="12" t="e">
        <f>B43+C43</f>
        <v>#VALUE!</v>
      </c>
    </row>
    <row r="44" spans="1:5" x14ac:dyDescent="0.25">
      <c r="A44" s="33" t="s">
        <v>58</v>
      </c>
      <c r="B44" s="12" t="e">
        <f t="shared" si="6"/>
        <v>#VALUE!</v>
      </c>
      <c r="C44" s="13">
        <f>D44*30</f>
        <v>10.95</v>
      </c>
      <c r="D44" s="13">
        <v>0.36499999999999999</v>
      </c>
      <c r="E44" s="12" t="e">
        <f>B44+C44</f>
        <v>#VALUE!</v>
      </c>
    </row>
    <row r="45" spans="1:5" ht="15.75" thickBot="1" x14ac:dyDescent="0.3">
      <c r="A45" s="32" t="s">
        <v>20</v>
      </c>
      <c r="B45" s="12" t="e">
        <f t="shared" si="6"/>
        <v>#VALUE!</v>
      </c>
      <c r="C45" s="13">
        <f t="shared" si="2"/>
        <v>1</v>
      </c>
      <c r="D45" s="13">
        <v>0</v>
      </c>
      <c r="E45" s="12" t="e">
        <f t="shared" ref="E45:E61" si="8">EDATE(B45,D45)</f>
        <v>#VALUE!</v>
      </c>
    </row>
    <row r="46" spans="1:5" ht="15.75" thickBot="1" x14ac:dyDescent="0.3">
      <c r="A46" s="31" t="s">
        <v>21</v>
      </c>
      <c r="B46" s="9" t="e">
        <f>E35</f>
        <v>#VALUE!</v>
      </c>
      <c r="C46" s="10" t="e">
        <f t="shared" si="2"/>
        <v>#VALUE!</v>
      </c>
      <c r="D46" s="11">
        <f>SUM(D47:D59)</f>
        <v>3</v>
      </c>
      <c r="E46" s="9" t="e">
        <f t="shared" si="8"/>
        <v>#VALUE!</v>
      </c>
    </row>
    <row r="47" spans="1:5" x14ac:dyDescent="0.25">
      <c r="A47" s="33" t="s">
        <v>48</v>
      </c>
      <c r="B47" s="12" t="e">
        <f>B46</f>
        <v>#VALUE!</v>
      </c>
      <c r="C47" s="13">
        <f t="shared" si="2"/>
        <v>1</v>
      </c>
      <c r="D47" s="13">
        <v>0</v>
      </c>
      <c r="E47" s="12" t="e">
        <f t="shared" si="8"/>
        <v>#VALUE!</v>
      </c>
    </row>
    <row r="48" spans="1:5" x14ac:dyDescent="0.25">
      <c r="A48" s="33" t="s">
        <v>51</v>
      </c>
      <c r="B48" s="12" t="e">
        <f>E47</f>
        <v>#VALUE!</v>
      </c>
      <c r="C48" s="13" t="e">
        <f t="shared" si="2"/>
        <v>#VALUE!</v>
      </c>
      <c r="D48" s="2">
        <v>2</v>
      </c>
      <c r="E48" s="12" t="e">
        <f t="shared" si="8"/>
        <v>#VALUE!</v>
      </c>
    </row>
    <row r="49" spans="1:5" x14ac:dyDescent="0.25">
      <c r="A49" s="33" t="s">
        <v>50</v>
      </c>
      <c r="B49" s="12" t="e">
        <f>B48</f>
        <v>#VALUE!</v>
      </c>
      <c r="C49" s="13">
        <f t="shared" si="2"/>
        <v>1</v>
      </c>
      <c r="D49" s="13">
        <v>0</v>
      </c>
      <c r="E49" s="12" t="e">
        <f t="shared" si="8"/>
        <v>#VALUE!</v>
      </c>
    </row>
    <row r="50" spans="1:5" x14ac:dyDescent="0.25">
      <c r="A50" s="33" t="s">
        <v>29</v>
      </c>
      <c r="B50" s="12" t="e">
        <f>E49</f>
        <v>#VALUE!</v>
      </c>
      <c r="C50" s="13">
        <f t="shared" si="2"/>
        <v>1</v>
      </c>
      <c r="D50" s="13">
        <v>0</v>
      </c>
      <c r="E50" s="12" t="e">
        <f t="shared" si="8"/>
        <v>#VALUE!</v>
      </c>
    </row>
    <row r="51" spans="1:5" x14ac:dyDescent="0.25">
      <c r="A51" s="33" t="s">
        <v>55</v>
      </c>
      <c r="B51" s="12" t="e">
        <f>E48</f>
        <v>#VALUE!</v>
      </c>
      <c r="C51" s="13">
        <f t="shared" si="2"/>
        <v>1</v>
      </c>
      <c r="D51" s="2">
        <v>0</v>
      </c>
      <c r="E51" s="12" t="e">
        <f t="shared" si="8"/>
        <v>#VALUE!</v>
      </c>
    </row>
    <row r="52" spans="1:5" x14ac:dyDescent="0.25">
      <c r="A52" s="33" t="s">
        <v>53</v>
      </c>
      <c r="B52" s="12" t="e">
        <f>E51</f>
        <v>#VALUE!</v>
      </c>
      <c r="C52" s="13">
        <f t="shared" si="2"/>
        <v>1</v>
      </c>
      <c r="D52" s="2">
        <v>0</v>
      </c>
      <c r="E52" s="12" t="e">
        <f t="shared" si="8"/>
        <v>#VALUE!</v>
      </c>
    </row>
    <row r="53" spans="1:5" x14ac:dyDescent="0.25">
      <c r="A53" s="33" t="s">
        <v>52</v>
      </c>
      <c r="B53" s="12" t="e">
        <f>E52</f>
        <v>#VALUE!</v>
      </c>
      <c r="C53" s="13" t="e">
        <f t="shared" si="2"/>
        <v>#VALUE!</v>
      </c>
      <c r="D53" s="17" t="str">
        <f>'PLANNING - Paramètres'!B13</f>
        <v>*</v>
      </c>
      <c r="E53" s="12" t="e">
        <f t="shared" si="8"/>
        <v>#VALUE!</v>
      </c>
    </row>
    <row r="54" spans="1:5" x14ac:dyDescent="0.25">
      <c r="A54" s="33" t="s">
        <v>30</v>
      </c>
      <c r="B54" s="73" t="s">
        <v>80</v>
      </c>
      <c r="C54" s="13">
        <f t="shared" si="2"/>
        <v>1</v>
      </c>
      <c r="D54" s="13">
        <v>0</v>
      </c>
      <c r="E54" s="12" t="e">
        <f t="shared" si="8"/>
        <v>#VALUE!</v>
      </c>
    </row>
    <row r="55" spans="1:5" x14ac:dyDescent="0.25">
      <c r="A55" s="33" t="s">
        <v>31</v>
      </c>
      <c r="B55" s="73" t="s">
        <v>80</v>
      </c>
      <c r="C55" s="13">
        <f t="shared" si="2"/>
        <v>1</v>
      </c>
      <c r="D55" s="13">
        <v>0</v>
      </c>
      <c r="E55" s="12" t="e">
        <f t="shared" si="8"/>
        <v>#VALUE!</v>
      </c>
    </row>
    <row r="56" spans="1:5" x14ac:dyDescent="0.25">
      <c r="A56" s="33" t="s">
        <v>32</v>
      </c>
      <c r="B56" s="73" t="s">
        <v>80</v>
      </c>
      <c r="C56" s="13">
        <f t="shared" si="2"/>
        <v>1</v>
      </c>
      <c r="D56" s="13">
        <v>0</v>
      </c>
      <c r="E56" s="12" t="e">
        <f t="shared" si="8"/>
        <v>#VALUE!</v>
      </c>
    </row>
    <row r="57" spans="1:5" x14ac:dyDescent="0.25">
      <c r="A57" s="33" t="s">
        <v>59</v>
      </c>
      <c r="B57" s="12" t="e">
        <f>E53</f>
        <v>#VALUE!</v>
      </c>
      <c r="C57" s="13" t="e">
        <f t="shared" si="2"/>
        <v>#VALUE!</v>
      </c>
      <c r="D57" s="2">
        <v>1</v>
      </c>
      <c r="E57" s="12" t="e">
        <f t="shared" si="8"/>
        <v>#VALUE!</v>
      </c>
    </row>
    <row r="58" spans="1:5" x14ac:dyDescent="0.25">
      <c r="A58" s="33" t="s">
        <v>79</v>
      </c>
      <c r="B58" s="12" t="e">
        <f>E58</f>
        <v>#VALUE!</v>
      </c>
      <c r="C58" s="13">
        <f t="shared" si="2"/>
        <v>1</v>
      </c>
      <c r="D58" s="13">
        <v>0</v>
      </c>
      <c r="E58" s="12" t="e">
        <f>EDATE(B59,-2)</f>
        <v>#VALUE!</v>
      </c>
    </row>
    <row r="59" spans="1:5" x14ac:dyDescent="0.25">
      <c r="A59" s="32" t="s">
        <v>22</v>
      </c>
      <c r="B59" s="12" t="e">
        <f>E46</f>
        <v>#VALUE!</v>
      </c>
      <c r="C59" s="13">
        <f t="shared" si="2"/>
        <v>1</v>
      </c>
      <c r="D59" s="13">
        <v>0</v>
      </c>
      <c r="E59" s="12" t="e">
        <f t="shared" si="8"/>
        <v>#VALUE!</v>
      </c>
    </row>
    <row r="60" spans="1:5" x14ac:dyDescent="0.25">
      <c r="A60" s="32" t="s">
        <v>26</v>
      </c>
      <c r="B60" s="12" t="e">
        <f>E59</f>
        <v>#VALUE!</v>
      </c>
      <c r="C60" s="13" t="e">
        <f t="shared" si="2"/>
        <v>#VALUE!</v>
      </c>
      <c r="D60" s="2">
        <v>6</v>
      </c>
      <c r="E60" s="12" t="e">
        <f t="shared" si="8"/>
        <v>#VALUE!</v>
      </c>
    </row>
    <row r="61" spans="1:5" x14ac:dyDescent="0.25">
      <c r="A61" s="20" t="s">
        <v>45</v>
      </c>
      <c r="B61" s="12">
        <f ca="1">TODAY()</f>
        <v>43480</v>
      </c>
      <c r="C61" s="13">
        <v>1</v>
      </c>
      <c r="D61" s="13">
        <v>0</v>
      </c>
      <c r="E61" s="12">
        <f t="shared" ca="1" si="8"/>
        <v>43480</v>
      </c>
    </row>
  </sheetData>
  <sheetProtection password="CBEB" sheet="1" objects="1" scenarios="1"/>
  <pageMargins left="0.7" right="0.7" top="0.75" bottom="0.75" header="0.3" footer="0.3"/>
  <pageSetup paperSize="8" scale="6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ACCEUIL</vt:lpstr>
      <vt:lpstr>RETRO PLANNING - Paramètres</vt:lpstr>
      <vt:lpstr>PLANNING - Paramètres</vt:lpstr>
      <vt:lpstr>RETRO PLANNING - DI-AVP-PRO-REA</vt:lpstr>
      <vt:lpstr>PLANNING - DI-AVP-PRO-REA</vt:lpstr>
      <vt:lpstr>RETRO PLANNING - DI-APO-REA </vt:lpstr>
      <vt:lpstr>PLANNING - DI-APO-REA </vt:lpstr>
    </vt:vector>
  </TitlesOfParts>
  <Company>SNCF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BERNAERT</dc:creator>
  <cp:lastModifiedBy>BERNAERT</cp:lastModifiedBy>
  <cp:lastPrinted>2018-04-11T14:16:52Z</cp:lastPrinted>
  <dcterms:created xsi:type="dcterms:W3CDTF">2018-01-05T09:16:44Z</dcterms:created>
  <dcterms:modified xsi:type="dcterms:W3CDTF">2019-01-15T10:16:18Z</dcterms:modified>
</cp:coreProperties>
</file>